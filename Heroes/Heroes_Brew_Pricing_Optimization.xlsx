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Pricing" sheetId="1" state="visible" r:id="rId3"/>
    <sheet name="Daily Specials" sheetId="2" state="visible" r:id="rId4"/>
    <sheet name="New Items" sheetId="3" state="visible" r:id="rId5"/>
    <sheet name="Revenue Impact" sheetId="4" state="visible" r:id="rId6"/>
    <sheet name="Cut List" sheetId="5" state="visible" r:id="rId7"/>
  </sheets>
  <definedNames>
    <definedName function="false" hidden="true" localSheetId="0" name="_xlnm._FilterDatabase" vbProcedure="false">'Menu Pricing'!$A$1:$J$148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<sst xmlns="http://schemas.openxmlformats.org/spreadsheetml/2006/main" count="765" uniqueCount="355">
  <si>
    <t xml:space="preserve">Category</t>
  </si>
  <si>
    <t xml:space="preserve">Item</t>
  </si>
  <si>
    <t xml:space="preserve">Current Price</t>
  </si>
  <si>
    <t xml:space="preserve">Draft Republic</t>
  </si>
  <si>
    <t xml:space="preserve">Park 101</t>
  </si>
  <si>
    <t xml:space="preserve">Suggested Price</t>
  </si>
  <si>
    <t xml:space="preserve">Change ($)</t>
  </si>
  <si>
    <t xml:space="preserve">Change (%)</t>
  </si>
  <si>
    <t xml:space="preserve">Est. Food Cost</t>
  </si>
  <si>
    <t xml:space="preserve">Target Margin</t>
  </si>
  <si>
    <t xml:space="preserve">STARTERS &amp; SALADS</t>
  </si>
  <si>
    <t xml:space="preserve">Starters</t>
  </si>
  <si>
    <t xml:space="preserve">Sliders (3)</t>
  </si>
  <si>
    <t xml:space="preserve">N/A</t>
  </si>
  <si>
    <t xml:space="preserve">Nachos (base)</t>
  </si>
  <si>
    <t xml:space="preserve">DR Nachos $9 (HH)</t>
  </si>
  <si>
    <t xml:space="preserve">  + Carnitas</t>
  </si>
  <si>
    <t xml:space="preserve">  + Chicken</t>
  </si>
  <si>
    <t xml:space="preserve">  + Carne Asada</t>
  </si>
  <si>
    <t xml:space="preserve">Signature Wings (8)</t>
  </si>
  <si>
    <t xml:space="preserve">$19.95 (full lb)</t>
  </si>
  <si>
    <t xml:space="preserve">$14 (smoked)</t>
  </si>
  <si>
    <t xml:space="preserve">Loaded Fries</t>
  </si>
  <si>
    <t xml:space="preserve">Barny Fries $16</t>
  </si>
  <si>
    <t xml:space="preserve">Munchies (all)</t>
  </si>
  <si>
    <t xml:space="preserve">Pretzel $12.95</t>
  </si>
  <si>
    <t xml:space="preserve">  Tier 1: Pickles/Pretzel/Corn Dog</t>
  </si>
  <si>
    <t xml:space="preserve">  Tier 2: Mozz/Jalapeño/Hummus</t>
  </si>
  <si>
    <t xml:space="preserve">Salads</t>
  </si>
  <si>
    <t xml:space="preserve">Healthy Hero</t>
  </si>
  <si>
    <t xml:space="preserve">Chop Chop $8 (HH)</t>
  </si>
  <si>
    <t xml:space="preserve">$12 (101 Greens)</t>
  </si>
  <si>
    <t xml:space="preserve">Caesar</t>
  </si>
  <si>
    <t xml:space="preserve">$13 (Chef Q's)</t>
  </si>
  <si>
    <t xml:space="preserve">Cobb</t>
  </si>
  <si>
    <t xml:space="preserve">$18 (Beachy Cobb)</t>
  </si>
  <si>
    <t xml:space="preserve">Antipasto</t>
  </si>
  <si>
    <t xml:space="preserve">  + Avocado</t>
  </si>
  <si>
    <t xml:space="preserve">BURGERS &amp; HANDHELDS</t>
  </si>
  <si>
    <t xml:space="preserve">Burgers</t>
  </si>
  <si>
    <t xml:space="preserve">Pasadena (OG)</t>
  </si>
  <si>
    <t xml:space="preserve">$20 (DR Burger combo)</t>
  </si>
  <si>
    <t xml:space="preserve">$17 (Park Burger)</t>
  </si>
  <si>
    <t xml:space="preserve">Austin (Jalapeño)</t>
  </si>
  <si>
    <t xml:space="preserve">Hollywood (Patty Melt)</t>
  </si>
  <si>
    <t xml:space="preserve">Bethlehem (Steeltown)</t>
  </si>
  <si>
    <t xml:space="preserve">Tombstone (Cowboy)</t>
  </si>
  <si>
    <t xml:space="preserve">Irwindale (Sriracha Honey)</t>
  </si>
  <si>
    <t xml:space="preserve">Leucadia (Smash)</t>
  </si>
  <si>
    <t xml:space="preserve">Minneapolis (Juicy Lucy) +$5</t>
  </si>
  <si>
    <t xml:space="preserve">  Make it a Double</t>
  </si>
  <si>
    <t xml:space="preserve">Heroes</t>
  </si>
  <si>
    <t xml:space="preserve">Carlsbad BLT+</t>
  </si>
  <si>
    <t xml:space="preserve">The Chick $16</t>
  </si>
  <si>
    <t xml:space="preserve">Manhattan Reuben</t>
  </si>
  <si>
    <t xml:space="preserve">LA French Dip</t>
  </si>
  <si>
    <t xml:space="preserve">Maui Kalua Pork</t>
  </si>
  <si>
    <t xml:space="preserve">Pulled Pork $15</t>
  </si>
  <si>
    <t xml:space="preserve">Hoboken Italian</t>
  </si>
  <si>
    <t xml:space="preserve">Philly Cheesesteak</t>
  </si>
  <si>
    <t xml:space="preserve">$22.95 (Rib Eye)</t>
  </si>
  <si>
    <t xml:space="preserve">Tacos</t>
  </si>
  <si>
    <t xml:space="preserve">Village Tacos (3)</t>
  </si>
  <si>
    <t xml:space="preserve">Shrimp $10/2, Tri-Tip $11/2</t>
  </si>
  <si>
    <t xml:space="preserve">SIDES</t>
  </si>
  <si>
    <t xml:space="preserve">Sides</t>
  </si>
  <si>
    <t xml:space="preserve">Potato Salad</t>
  </si>
  <si>
    <t xml:space="preserve">Fries</t>
  </si>
  <si>
    <t xml:space="preserve">$5 (Park 101)</t>
  </si>
  <si>
    <t xml:space="preserve">$5</t>
  </si>
  <si>
    <t xml:space="preserve">Onion Rings</t>
  </si>
  <si>
    <t xml:space="preserve">Chili</t>
  </si>
  <si>
    <t xml:space="preserve">Mac &amp; Cheese</t>
  </si>
  <si>
    <t xml:space="preserve">$6 (Park 101)</t>
  </si>
  <si>
    <t xml:space="preserve">$6</t>
  </si>
  <si>
    <t xml:space="preserve">House Salad</t>
  </si>
  <si>
    <t xml:space="preserve">Frings</t>
  </si>
  <si>
    <t xml:space="preserve">BREAKFAST</t>
  </si>
  <si>
    <t xml:space="preserve">Breakfast</t>
  </si>
  <si>
    <t xml:space="preserve">American Hero Breakfast</t>
  </si>
  <si>
    <t xml:space="preserve">Denver Omelet</t>
  </si>
  <si>
    <t xml:space="preserve">Hamtown Omelet</t>
  </si>
  <si>
    <t xml:space="preserve">Boulder Omelet</t>
  </si>
  <si>
    <t xml:space="preserve">Veggieville Omelet</t>
  </si>
  <si>
    <t xml:space="preserve">Bagel Melts</t>
  </si>
  <si>
    <t xml:space="preserve">Fallbrook (Avo Toast)</t>
  </si>
  <si>
    <t xml:space="preserve">Toasty Toast (French Toast)</t>
  </si>
  <si>
    <t xml:space="preserve">Burrito - Sausage</t>
  </si>
  <si>
    <t xml:space="preserve">Surfy Turfy $15</t>
  </si>
  <si>
    <t xml:space="preserve">Burrito - Bacon</t>
  </si>
  <si>
    <t xml:space="preserve">Burrito - Chicken</t>
  </si>
  <si>
    <t xml:space="preserve">Burrito - Carnitas</t>
  </si>
  <si>
    <t xml:space="preserve">Burrito - Carne Asada</t>
  </si>
  <si>
    <t xml:space="preserve">Burrito - Pastrami</t>
  </si>
  <si>
    <t xml:space="preserve">Breakfast Sides</t>
  </si>
  <si>
    <t xml:space="preserve">Fruit</t>
  </si>
  <si>
    <t xml:space="preserve">Toast</t>
  </si>
  <si>
    <t xml:space="preserve">Biscuit</t>
  </si>
  <si>
    <t xml:space="preserve">Hash Browns</t>
  </si>
  <si>
    <t xml:space="preserve">Ham</t>
  </si>
  <si>
    <t xml:space="preserve">Sausage</t>
  </si>
  <si>
    <t xml:space="preserve">Bacon</t>
  </si>
  <si>
    <t xml:space="preserve">Pastrami</t>
  </si>
  <si>
    <t xml:space="preserve">Biscuits &amp; Gravy</t>
  </si>
  <si>
    <t xml:space="preserve">DESSERTS</t>
  </si>
  <si>
    <t xml:space="preserve">Desserts</t>
  </si>
  <si>
    <t xml:space="preserve">Key Lime Pie</t>
  </si>
  <si>
    <t xml:space="preserve">Cheesecake (charity)</t>
  </si>
  <si>
    <t xml:space="preserve">Caramel Brownie Sundae</t>
  </si>
  <si>
    <t xml:space="preserve">Churros</t>
  </si>
  <si>
    <t xml:space="preserve">Ice Cream Sandwich</t>
  </si>
  <si>
    <t xml:space="preserve">Chocolate Chip Cookie</t>
  </si>
  <si>
    <t xml:space="preserve">Scoop of Ice Cream</t>
  </si>
  <si>
    <t xml:space="preserve">BEVERAGES - Beer</t>
  </si>
  <si>
    <t xml:space="preserve">Bottles/Cans</t>
  </si>
  <si>
    <t xml:space="preserve">Modelo</t>
  </si>
  <si>
    <t xml:space="preserve">Michelob Ultra</t>
  </si>
  <si>
    <t xml:space="preserve">Miller Lite</t>
  </si>
  <si>
    <t xml:space="preserve">Coors Banquet</t>
  </si>
  <si>
    <t xml:space="preserve">Guinness</t>
  </si>
  <si>
    <t xml:space="preserve">High Noon</t>
  </si>
  <si>
    <t xml:space="preserve">Sun Cruiser Tea</t>
  </si>
  <si>
    <t xml:space="preserve">Natrl Watermelon</t>
  </si>
  <si>
    <t xml:space="preserve">White Claw</t>
  </si>
  <si>
    <t xml:space="preserve">Corona N/A</t>
  </si>
  <si>
    <t xml:space="preserve">Athletic Lite N/A</t>
  </si>
  <si>
    <t xml:space="preserve">Draft</t>
  </si>
  <si>
    <t xml:space="preserve">Coors Light (pint)</t>
  </si>
  <si>
    <t xml:space="preserve">$9 (Park 101 draft)</t>
  </si>
  <si>
    <t xml:space="preserve">Coors Light (pitcher)</t>
  </si>
  <si>
    <t xml:space="preserve">Pacifico (pint)</t>
  </si>
  <si>
    <t xml:space="preserve">Pacifico (pitcher)</t>
  </si>
  <si>
    <t xml:space="preserve">IPA Heroes (pint)</t>
  </si>
  <si>
    <t xml:space="preserve">IPA Heroes (pitcher)</t>
  </si>
  <si>
    <t xml:space="preserve">Pupil IPA (pint)</t>
  </si>
  <si>
    <t xml:space="preserve">Pupil IPA (pitcher)</t>
  </si>
  <si>
    <t xml:space="preserve">Space Dust (pint)</t>
  </si>
  <si>
    <t xml:space="preserve">Space Dust (pitcher)</t>
  </si>
  <si>
    <t xml:space="preserve">Blonde Heroes (pint)</t>
  </si>
  <si>
    <t xml:space="preserve">Blonde Heroes (pitcher)</t>
  </si>
  <si>
    <t xml:space="preserve">Amber Heroes (pint)</t>
  </si>
  <si>
    <t xml:space="preserve">Amber Heroes (pitcher)</t>
  </si>
  <si>
    <t xml:space="preserve">Cali Squeeze (pint)</t>
  </si>
  <si>
    <t xml:space="preserve">Cali Squeeze (pitcher)</t>
  </si>
  <si>
    <t xml:space="preserve">COCKTAILS</t>
  </si>
  <si>
    <t xml:space="preserve">Cocktails</t>
  </si>
  <si>
    <t xml:space="preserve">Cadillac Margarita</t>
  </si>
  <si>
    <t xml:space="preserve">Draft Marg $8 (HH)</t>
  </si>
  <si>
    <t xml:space="preserve">Village Iced Tea</t>
  </si>
  <si>
    <t xml:space="preserve">Bressi Espressi Martini</t>
  </si>
  <si>
    <t xml:space="preserve">Coastal Margarita</t>
  </si>
  <si>
    <t xml:space="preserve">Heroes Old Fashioned</t>
  </si>
  <si>
    <t xml:space="preserve">Tamarack Twist Mule</t>
  </si>
  <si>
    <t xml:space="preserve">$9 (DR Mule HH)</t>
  </si>
  <si>
    <t xml:space="preserve">101 Rum Runner</t>
  </si>
  <si>
    <t xml:space="preserve">Sam's Spicy Bloody Mary</t>
  </si>
  <si>
    <t xml:space="preserve">Irish Coffee</t>
  </si>
  <si>
    <t xml:space="preserve">Espresso Martini (dessert)</t>
  </si>
  <si>
    <t xml:space="preserve">WINE</t>
  </si>
  <si>
    <t xml:space="preserve">Red Wine</t>
  </si>
  <si>
    <t xml:space="preserve">Sea Sun Pinot Noir (glass)</t>
  </si>
  <si>
    <t xml:space="preserve">Sea Sun Pinot Noir (bottle)</t>
  </si>
  <si>
    <t xml:space="preserve">Bogle Merlot (glass)</t>
  </si>
  <si>
    <t xml:space="preserve">Bogle Merlot (bottle)</t>
  </si>
  <si>
    <t xml:space="preserve">Fableist Red Blend (glass)</t>
  </si>
  <si>
    <t xml:space="preserve">Fableist Red Blend (bottle)</t>
  </si>
  <si>
    <t xml:space="preserve">Serial Cab Sauv (glass)</t>
  </si>
  <si>
    <t xml:space="preserve">Serial Cab Sauv (bottle)</t>
  </si>
  <si>
    <t xml:space="preserve">Bonanza Cab Sauv (glass)</t>
  </si>
  <si>
    <t xml:space="preserve">Bonanza Cab Sauv (bottle)</t>
  </si>
  <si>
    <t xml:space="preserve">Pasmosa Sangria (glass)</t>
  </si>
  <si>
    <t xml:space="preserve">Pasmosa Sangria (bottle)</t>
  </si>
  <si>
    <t xml:space="preserve">White Wine</t>
  </si>
  <si>
    <t xml:space="preserve">Studio Miraval Rosé (glass)</t>
  </si>
  <si>
    <t xml:space="preserve">Studio Miraval Rosé (bottle)</t>
  </si>
  <si>
    <t xml:space="preserve">Dryland Sauv Blanc (glass)</t>
  </si>
  <si>
    <t xml:space="preserve">Dryland Sauv Blanc (bottle)</t>
  </si>
  <si>
    <t xml:space="preserve">Josh Chardonnay (glass)</t>
  </si>
  <si>
    <t xml:space="preserve">Josh Chardonnay (bottle)</t>
  </si>
  <si>
    <t xml:space="preserve">Wente Chardonnay (glass)</t>
  </si>
  <si>
    <t xml:space="preserve">Wente Chardonnay (bottle)</t>
  </si>
  <si>
    <t xml:space="preserve">Santa Cristina PG (glass)</t>
  </si>
  <si>
    <t xml:space="preserve">Santa Cristina PG (bottle)</t>
  </si>
  <si>
    <t xml:space="preserve">House Sparkling (glass)</t>
  </si>
  <si>
    <t xml:space="preserve">House Sparkling (bottle)</t>
  </si>
  <si>
    <t xml:space="preserve">NON-ALCOHOLIC</t>
  </si>
  <si>
    <t xml:space="preserve">Non-Alc</t>
  </si>
  <si>
    <t xml:space="preserve">Soda</t>
  </si>
  <si>
    <t xml:space="preserve">Juice &amp; Tea</t>
  </si>
  <si>
    <t xml:space="preserve">Fresh Brewed Coffee</t>
  </si>
  <si>
    <t xml:space="preserve">Bottomless Mimosas</t>
  </si>
  <si>
    <t xml:space="preserve">Breakfast Drinks</t>
  </si>
  <si>
    <t xml:space="preserve">Mimosa</t>
  </si>
  <si>
    <t xml:space="preserve">Bloody Mary</t>
  </si>
  <si>
    <t xml:space="preserve">Michelada</t>
  </si>
  <si>
    <t xml:space="preserve">Day</t>
  </si>
  <si>
    <t xml:space="preserve">Special Name</t>
  </si>
  <si>
    <t xml:space="preserve">Current Deal</t>
  </si>
  <si>
    <t xml:space="preserve">Current Special Price</t>
  </si>
  <si>
    <t xml:space="preserve">Suggested Deal</t>
  </si>
  <si>
    <t xml:space="preserve">Est. Cost/Unit</t>
  </si>
  <si>
    <t xml:space="preserve">Margin</t>
  </si>
  <si>
    <t xml:space="preserve">Mon-Fri</t>
  </si>
  <si>
    <t xml:space="preserve">After School Special</t>
  </si>
  <si>
    <t xml:space="preserve">Kids Meals $5, Cookies $1</t>
  </si>
  <si>
    <t xml:space="preserve">Kids Meals $6, Cookies $2</t>
  </si>
  <si>
    <t xml:space="preserve">Game Day</t>
  </si>
  <si>
    <t xml:space="preserve">Hot Dogs &amp; Beer</t>
  </si>
  <si>
    <t xml:space="preserve">Franks $5, Drafts $5</t>
  </si>
  <si>
    <t xml:space="preserve">Franks $6, Drafts $5</t>
  </si>
  <si>
    <t xml:space="preserve">Monday</t>
  </si>
  <si>
    <t xml:space="preserve">Mahalo Monday</t>
  </si>
  <si>
    <t xml:space="preserve">Kalua Sliders $4ea, Cans $3ea</t>
  </si>
  <si>
    <t xml:space="preserve">Kalua Sliders $5ea, Cans $4ea</t>
  </si>
  <si>
    <t xml:space="preserve">Tuesday</t>
  </si>
  <si>
    <t xml:space="preserve">Taco Tuesday</t>
  </si>
  <si>
    <t xml:space="preserve">Tacos $3ea, Drafts $5ea</t>
  </si>
  <si>
    <t xml:space="preserve">Tacos $4ea (chicken/carnitas), Drafts $5ea</t>
  </si>
  <si>
    <t xml:space="preserve">Wednesday</t>
  </si>
  <si>
    <t xml:space="preserve">Wings &amp; Wells</t>
  </si>
  <si>
    <t xml:space="preserve">Wings $5 off, Wells $6ea</t>
  </si>
  <si>
    <t xml:space="preserve">Wings $4 off ($15), Wells $7ea</t>
  </si>
  <si>
    <t xml:space="preserve">Thursday</t>
  </si>
  <si>
    <t xml:space="preserve">Burgers &amp; Beer</t>
  </si>
  <si>
    <t xml:space="preserve">Burgers $5 off, Drafts $5ea</t>
  </si>
  <si>
    <t xml:space="preserve">Burgers $4 off ($13), Drafts $5ea</t>
  </si>
  <si>
    <t xml:space="preserve">Friday</t>
  </si>
  <si>
    <t xml:space="preserve">Friday Funday</t>
  </si>
  <si>
    <t xml:space="preserve">1-4pm, $2 off drinks &amp; apps</t>
  </si>
  <si>
    <t xml:space="preserve">1-5pm, $2 off drinks &amp; apps</t>
  </si>
  <si>
    <t xml:space="preserve">Saturday</t>
  </si>
  <si>
    <t xml:space="preserve">Late Night Delight</t>
  </si>
  <si>
    <t xml:space="preserve">9pm-close, $2 off drinks</t>
  </si>
  <si>
    <t xml:space="preserve">9pm-close, $2 off drinks + $8 munchies</t>
  </si>
  <si>
    <t xml:space="preserve">Sunday</t>
  </si>
  <si>
    <t xml:space="preserve">Sunday Send-Off</t>
  </si>
  <si>
    <t xml:space="preserve">7pm-close, $2 off drinks</t>
  </si>
  <si>
    <t xml:space="preserve">NFL hours, $2 off drinks + $12 wings</t>
  </si>
  <si>
    <t xml:space="preserve">New Item</t>
  </si>
  <si>
    <t xml:space="preserve">Competitor Ref</t>
  </si>
  <si>
    <t xml:space="preserve">Priority</t>
  </si>
  <si>
    <t xml:space="preserve">Notes</t>
  </si>
  <si>
    <t xml:space="preserve">Fish Tacos (mahi, baja style, 3ct)</t>
  </si>
  <si>
    <t xml:space="preserve">Park 101 Shrimp $10/2</t>
  </si>
  <si>
    <t xml:space="preserve">HIGH</t>
  </si>
  <si>
    <t xml:space="preserve">Coastal identity. Zero new equipment.</t>
  </si>
  <si>
    <t xml:space="preserve">Handhelds</t>
  </si>
  <si>
    <t xml:space="preserve">Nashville Hot Chicken Sandwich</t>
  </si>
  <si>
    <t xml:space="preserve">Draft Republic has one</t>
  </si>
  <si>
    <t xml:space="preserve">#2 selling handheld nationally.</t>
  </si>
  <si>
    <t xml:space="preserve">Fish &amp; Chips Basket</t>
  </si>
  <si>
    <t xml:space="preserve">Standard sports bar item</t>
  </si>
  <si>
    <t xml:space="preserve">MED</t>
  </si>
  <si>
    <t xml:space="preserve">Cod or mahi. Baja style.</t>
  </si>
  <si>
    <t xml:space="preserve">Quesadilla (w/ protein)</t>
  </si>
  <si>
    <t xml:space="preserve">DR Cheese Quesadilla $8 (HH)</t>
  </si>
  <si>
    <t xml:space="preserve">Uses existing tortilla + protein SKUs.</t>
  </si>
  <si>
    <t xml:space="preserve">Chili Bowl (standalone)</t>
  </si>
  <si>
    <t xml:space="preserve">You already have chili as side $8</t>
  </si>
  <si>
    <t xml:space="preserve">LOW</t>
  </si>
  <si>
    <t xml:space="preserve">Upsize existing side. Add toppings.</t>
  </si>
  <si>
    <t xml:space="preserve">Chicken &amp; Waffles</t>
  </si>
  <si>
    <t xml:space="preserve">Brunch crossover item</t>
  </si>
  <si>
    <t xml:space="preserve">High margin, Instagrammable.</t>
  </si>
  <si>
    <t xml:space="preserve">Breakfast Quesadilla</t>
  </si>
  <si>
    <t xml:space="preserve">Uses existing inventory</t>
  </si>
  <si>
    <t xml:space="preserve">Egg, cheese, protein, salsa.</t>
  </si>
  <si>
    <t xml:space="preserve">Ranch Water</t>
  </si>
  <si>
    <t xml:space="preserve">Trending nationally</t>
  </si>
  <si>
    <t xml:space="preserve">Tequila + Topo Chico + lime. ~$2 cost.</t>
  </si>
  <si>
    <t xml:space="preserve">Paloma</t>
  </si>
  <si>
    <t xml:space="preserve">SoCal staple</t>
  </si>
  <si>
    <t xml:space="preserve">Tequila + grapefruit soda.</t>
  </si>
  <si>
    <t xml:space="preserve">Margarita Pitcher</t>
  </si>
  <si>
    <t xml:space="preserve">Group drink upsell</t>
  </si>
  <si>
    <t xml:space="preserve">Highest-margin group item.</t>
  </si>
  <si>
    <t xml:space="preserve">Sangria Pitcher</t>
  </si>
  <si>
    <t xml:space="preserve">Uses existing Pasmosa</t>
  </si>
  <si>
    <t xml:space="preserve">Leverage existing wine inventory.</t>
  </si>
  <si>
    <t xml:space="preserve">Mocktail (2-3 options)</t>
  </si>
  <si>
    <t xml:space="preserve">7% of bar sales nationally</t>
  </si>
  <si>
    <t xml:space="preserve">Virgin marg, N/A mule, etc.</t>
  </si>
  <si>
    <t xml:space="preserve">Draft Beer</t>
  </si>
  <si>
    <t xml:space="preserve">Burgeon Brewing (local tap)</t>
  </si>
  <si>
    <t xml:space="preserve">Carlsbad local brewery</t>
  </si>
  <si>
    <t xml:space="preserve">Locals expect this. Rotating.</t>
  </si>
  <si>
    <t xml:space="preserve">Pizza Port (local tap)</t>
  </si>
  <si>
    <t xml:space="preserve">Village institution</t>
  </si>
  <si>
    <t xml:space="preserve">Started in Carlsbad Village.</t>
  </si>
  <si>
    <t xml:space="preserve">Change Category</t>
  </si>
  <si>
    <t xml:space="preserve">Description</t>
  </si>
  <si>
    <t xml:space="preserve">Avg Impact/Check</t>
  </si>
  <si>
    <t xml:space="preserve">Est. Checks/Week</t>
  </si>
  <si>
    <t xml:space="preserve">Weekly Revenue Impact</t>
  </si>
  <si>
    <t xml:space="preserve">Annual Impact</t>
  </si>
  <si>
    <t xml:space="preserve">Burger price $16→$17</t>
  </si>
  <si>
    <t xml:space="preserve">8 burgers × $1 increase</t>
  </si>
  <si>
    <t xml:space="preserve">Wings price $18→$19</t>
  </si>
  <si>
    <t xml:space="preserve">$1 increase on signature item</t>
  </si>
  <si>
    <t xml:space="preserve">Munchies tiering</t>
  </si>
  <si>
    <t xml:space="preserve">Avg $1 uplift from tier structure</t>
  </si>
  <si>
    <t xml:space="preserve">Breakfast sides repricing</t>
  </si>
  <si>
    <t xml:space="preserve">Fruit $1→$4, Toast $2→$3, etc.</t>
  </si>
  <si>
    <t xml:space="preserve">Breakfast entrees +$1-2</t>
  </si>
  <si>
    <t xml:space="preserve">Hero Brkfst $12→$14, bagels, etc.</t>
  </si>
  <si>
    <t xml:space="preserve">Loaded fries $18→$16</t>
  </si>
  <si>
    <t xml:space="preserve">Price drop but est. 25% more orders</t>
  </si>
  <si>
    <t xml:space="preserve">House beers +$1 pint</t>
  </si>
  <si>
    <t xml:space="preserve">Blonde/Amber $8→$9, IPA $9→$10</t>
  </si>
  <si>
    <t xml:space="preserve">Cocktails +$1 avg</t>
  </si>
  <si>
    <t xml:space="preserve">Old Fash, Mule, Rum Runner, etc.</t>
  </si>
  <si>
    <t xml:space="preserve">Bottomless mimosas $25→$28</t>
  </si>
  <si>
    <t xml:space="preserve">$3 increase per brunch guest</t>
  </si>
  <si>
    <t xml:space="preserve">Add cocktail pitchers</t>
  </si>
  <si>
    <t xml:space="preserve">New $42-48 pitcher category</t>
  </si>
  <si>
    <t xml:space="preserve">Add fish tacos/chicken sando</t>
  </si>
  <si>
    <t xml:space="preserve">New high-demand items</t>
  </si>
  <si>
    <t xml:space="preserve">Add Ranch Water/Paloma</t>
  </si>
  <si>
    <t xml:space="preserve">High-margin new cocktails</t>
  </si>
  <si>
    <t xml:space="preserve">TOTAL ESTIMATED IMPACT</t>
  </si>
  <si>
    <t xml:space="preserve">Reason to Cut</t>
  </si>
  <si>
    <t xml:space="preserve">Replacement</t>
  </si>
  <si>
    <t xml:space="preserve">Action</t>
  </si>
  <si>
    <t xml:space="preserve">Bethlehem Burger</t>
  </si>
  <si>
    <t xml:space="preserve">Overlaps Tombstone (both bacon/cheddar)</t>
  </si>
  <si>
    <t xml:space="preserve">Keep Tombstone (BBQ angle)</t>
  </si>
  <si>
    <t xml:space="preserve">CUT</t>
  </si>
  <si>
    <t xml:space="preserve">Hollywood Burger</t>
  </si>
  <si>
    <t xml:space="preserve">Overlaps Leucadia (both simple/onion)</t>
  </si>
  <si>
    <t xml:space="preserve">Keep Leucadia (local name)</t>
  </si>
  <si>
    <t xml:space="preserve">Irwindale Burger</t>
  </si>
  <si>
    <t xml:space="preserve">Complex flavor, likely low seller</t>
  </si>
  <si>
    <t xml:space="preserve">Slot for seasonal rotation</t>
  </si>
  <si>
    <t xml:space="preserve">Garlic Parm Loaded Fries</t>
  </si>
  <si>
    <t xml:space="preserve">Niche, overlaps with Cheesesteak fries</t>
  </si>
  <si>
    <t xml:space="preserve">Keep 4 best sellers</t>
  </si>
  <si>
    <t xml:space="preserve">Cheesesteak Loaded Fries</t>
  </si>
  <si>
    <t xml:space="preserve">Philly already serves this need</t>
  </si>
  <si>
    <t xml:space="preserve">Keep Carne Asada instead</t>
  </si>
  <si>
    <t xml:space="preserve">Hummus Plate (Munchies)</t>
  </si>
  <si>
    <t xml:space="preserve">Doesn't fit sports bar identity</t>
  </si>
  <si>
    <t xml:space="preserve">Add quesadilla instead</t>
  </si>
  <si>
    <t xml:space="preserve">Corn Dogs (Munchies)</t>
  </si>
  <si>
    <t xml:space="preserve">Low perceived adult value</t>
  </si>
  <si>
    <t xml:space="preserve">Keep other 5 munchies</t>
  </si>
  <si>
    <t xml:space="preserve">Natrl Watermelon (seltzer)</t>
  </si>
  <si>
    <t xml:space="preserve">4 seltzers is too many</t>
  </si>
  <si>
    <t xml:space="preserve">Keep White Claw + High Noon</t>
  </si>
  <si>
    <t xml:space="preserve">Sun Cruiser Tea (seltzer)</t>
  </si>
  <si>
    <t xml:space="preserve">Consolidate seltzer SKUs</t>
  </si>
  <si>
    <t xml:space="preserve">Free cooler space for local cans</t>
  </si>
  <si>
    <t xml:space="preserve">Antipasto Salad</t>
  </si>
  <si>
    <t xml:space="preserve">Monitor 90 days first</t>
  </si>
  <si>
    <t xml:space="preserve">Cut if bottom 10% of salad sales</t>
  </si>
  <si>
    <t xml:space="preserve">WATCH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</si>
</sst>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\$#,##0.00;&quot;($&quot;#,##0.00\);\-"/>
    <numFmt numFmtId="167" formatCode="0.0%"/>
    <numFmt numFmtId="168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C41E3A"/>
        <bgColor rgb="FFC000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C41E3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CCC"/>
      <rgbColor rgb="FF808080"/>
      <rgbColor rgb="FF9999FF"/>
      <rgbColor rgb="FFC41E3A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59E0B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10" min="9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11</v>
      </c>
      <c r="B3" s="3" t="s">
        <v>12</v>
      </c>
      <c r="C3" s="4" t="n">
        <v>17</v>
      </c>
      <c r="D3" s="3" t="s">
        <v>13</v>
      </c>
      <c r="E3" s="3" t="s">
        <v>13</v>
      </c>
      <c r="F3" s="4" t="n">
        <v>18</v>
      </c>
      <c r="G3" s="5" t="n">
        <f aca="false">IF(AND(ISNUMBER(F3),ISNUMBER(C3)),F3-C3,"")</f>
        <v>1</v>
      </c>
      <c r="H3" s="6" t="n">
        <f aca="false">IF(AND(ISNUMBER(G3),ISNUMBER(C3),C3&lt;&gt;0),G3/C3,"")</f>
        <v>0.0588235294117647</v>
      </c>
      <c r="I3" s="4" t="n">
        <v>5.5</v>
      </c>
      <c r="J3" s="6" t="n">
        <f aca="false">IF(AND(ISNUMBER(F3),ISNUMBER(I3),F3&lt;&gt;0),1-(I3/F3),"")</f>
        <v>0.694444444444444</v>
      </c>
    </row>
    <row r="4" customFormat="false" ht="15" hidden="false" customHeight="false" outlineLevel="0" collapsed="false">
      <c r="A4" s="7" t="s">
        <v>11</v>
      </c>
      <c r="B4" s="7" t="s">
        <v>14</v>
      </c>
      <c r="C4" s="8" t="n">
        <v>16</v>
      </c>
      <c r="D4" s="7" t="s">
        <v>15</v>
      </c>
      <c r="E4" s="7" t="s">
        <v>13</v>
      </c>
      <c r="F4" s="8" t="n">
        <v>17</v>
      </c>
      <c r="G4" s="9" t="n">
        <f aca="false">IF(AND(ISNUMBER(F4),ISNUMBER(C4)),F4-C4,"")</f>
        <v>1</v>
      </c>
      <c r="H4" s="10" t="n">
        <f aca="false">IF(AND(ISNUMBER(G4),ISNUMBER(C4),C4&lt;&gt;0),G4/C4,"")</f>
        <v>0.0625</v>
      </c>
      <c r="I4" s="8" t="n">
        <v>4.25</v>
      </c>
      <c r="J4" s="10" t="n">
        <f aca="false">IF(AND(ISNUMBER(F4),ISNUMBER(I4),F4&lt;&gt;0),1-(I4/F4),"")</f>
        <v>0.75</v>
      </c>
    </row>
    <row r="5" customFormat="false" ht="15" hidden="false" customHeight="false" outlineLevel="0" collapsed="false">
      <c r="A5" s="3" t="s">
        <v>11</v>
      </c>
      <c r="B5" s="3" t="s">
        <v>16</v>
      </c>
      <c r="C5" s="4" t="n">
        <v>6</v>
      </c>
      <c r="D5" s="3" t="s">
        <v>13</v>
      </c>
      <c r="E5" s="3" t="s">
        <v>13</v>
      </c>
      <c r="F5" s="4" t="n">
        <v>6</v>
      </c>
      <c r="G5" s="5" t="n">
        <f aca="false">IF(AND(ISNUMBER(F5),ISNUMBER(C5)),F5-C5,"")</f>
        <v>0</v>
      </c>
      <c r="H5" s="6" t="n">
        <f aca="false">IF(AND(ISNUMBER(G5),ISNUMBER(C5),C5&lt;&gt;0),G5/C5,"")</f>
        <v>0</v>
      </c>
      <c r="I5" s="4" t="n">
        <v>2</v>
      </c>
      <c r="J5" s="6" t="n">
        <f aca="false">IF(AND(ISNUMBER(F5),ISNUMBER(I5),F5&lt;&gt;0),1-(I5/F5),"")</f>
        <v>0.666666666666667</v>
      </c>
    </row>
    <row r="6" customFormat="false" ht="15" hidden="false" customHeight="false" outlineLevel="0" collapsed="false">
      <c r="A6" s="7" t="s">
        <v>11</v>
      </c>
      <c r="B6" s="7" t="s">
        <v>17</v>
      </c>
      <c r="C6" s="8" t="n">
        <v>8</v>
      </c>
      <c r="D6" s="7" t="s">
        <v>13</v>
      </c>
      <c r="E6" s="7" t="s">
        <v>13</v>
      </c>
      <c r="F6" s="8" t="n">
        <v>6</v>
      </c>
      <c r="G6" s="9" t="n">
        <f aca="false">IF(AND(ISNUMBER(F6),ISNUMBER(C6)),F6-C6,"")</f>
        <v>-2</v>
      </c>
      <c r="H6" s="10" t="n">
        <f aca="false">IF(AND(ISNUMBER(G6),ISNUMBER(C6),C6&lt;&gt;0),G6/C6,"")</f>
        <v>-0.25</v>
      </c>
      <c r="I6" s="8" t="n">
        <v>2.5</v>
      </c>
      <c r="J6" s="10" t="n">
        <f aca="false">IF(AND(ISNUMBER(F6),ISNUMBER(I6),F6&lt;&gt;0),1-(I6/F6),"")</f>
        <v>0.583333333333333</v>
      </c>
    </row>
    <row r="7" customFormat="false" ht="15" hidden="false" customHeight="false" outlineLevel="0" collapsed="false">
      <c r="A7" s="3" t="s">
        <v>11</v>
      </c>
      <c r="B7" s="3" t="s">
        <v>18</v>
      </c>
      <c r="C7" s="4" t="n">
        <v>10</v>
      </c>
      <c r="D7" s="3" t="s">
        <v>13</v>
      </c>
      <c r="E7" s="3" t="s">
        <v>13</v>
      </c>
      <c r="F7" s="4" t="n">
        <v>8</v>
      </c>
      <c r="G7" s="5" t="n">
        <f aca="false">IF(AND(ISNUMBER(F7),ISNUMBER(C7)),F7-C7,"")</f>
        <v>-2</v>
      </c>
      <c r="H7" s="6" t="n">
        <f aca="false">IF(AND(ISNUMBER(G7),ISNUMBER(C7),C7&lt;&gt;0),G7/C7,"")</f>
        <v>-0.2</v>
      </c>
      <c r="I7" s="4" t="n">
        <v>3.5</v>
      </c>
      <c r="J7" s="6" t="n">
        <f aca="false">IF(AND(ISNUMBER(F7),ISNUMBER(I7),F7&lt;&gt;0),1-(I7/F7),"")</f>
        <v>0.5625</v>
      </c>
    </row>
    <row r="8" customFormat="false" ht="15" hidden="false" customHeight="false" outlineLevel="0" collapsed="false">
      <c r="A8" s="7" t="s">
        <v>11</v>
      </c>
      <c r="B8" s="7" t="s">
        <v>19</v>
      </c>
      <c r="C8" s="8" t="n">
        <v>18</v>
      </c>
      <c r="D8" s="7" t="s">
        <v>20</v>
      </c>
      <c r="E8" s="7" t="s">
        <v>21</v>
      </c>
      <c r="F8" s="8" t="n">
        <v>19</v>
      </c>
      <c r="G8" s="9" t="n">
        <f aca="false">IF(AND(ISNUMBER(F8),ISNUMBER(C8)),F8-C8,"")</f>
        <v>1</v>
      </c>
      <c r="H8" s="10" t="n">
        <f aca="false">IF(AND(ISNUMBER(G8),ISNUMBER(C8),C8&lt;&gt;0),G8/C8,"")</f>
        <v>0.0555555555555556</v>
      </c>
      <c r="I8" s="8" t="n">
        <v>5.75</v>
      </c>
      <c r="J8" s="10" t="n">
        <f aca="false">IF(AND(ISNUMBER(F8),ISNUMBER(I8),F8&lt;&gt;0),1-(I8/F8),"")</f>
        <v>0.697368421052632</v>
      </c>
    </row>
    <row r="9" customFormat="false" ht="15" hidden="false" customHeight="false" outlineLevel="0" collapsed="false">
      <c r="A9" s="3" t="s">
        <v>11</v>
      </c>
      <c r="B9" s="3" t="s">
        <v>22</v>
      </c>
      <c r="C9" s="4" t="n">
        <v>18</v>
      </c>
      <c r="D9" s="3" t="s">
        <v>23</v>
      </c>
      <c r="E9" s="3" t="s">
        <v>13</v>
      </c>
      <c r="F9" s="4" t="n">
        <v>16</v>
      </c>
      <c r="G9" s="5" t="n">
        <f aca="false">IF(AND(ISNUMBER(F9),ISNUMBER(C9)),F9-C9,"")</f>
        <v>-2</v>
      </c>
      <c r="H9" s="6" t="n">
        <f aca="false">IF(AND(ISNUMBER(G9),ISNUMBER(C9),C9&lt;&gt;0),G9/C9,"")</f>
        <v>-0.111111111111111</v>
      </c>
      <c r="I9" s="4" t="n">
        <v>4</v>
      </c>
      <c r="J9" s="6" t="n">
        <f aca="false">IF(AND(ISNUMBER(F9),ISNUMBER(I9),F9&lt;&gt;0),1-(I9/F9),"")</f>
        <v>0.75</v>
      </c>
    </row>
    <row r="10" customFormat="false" ht="15" hidden="false" customHeight="false" outlineLevel="0" collapsed="false">
      <c r="A10" s="7" t="s">
        <v>11</v>
      </c>
      <c r="B10" s="7" t="s">
        <v>24</v>
      </c>
      <c r="C10" s="8" t="n">
        <v>12</v>
      </c>
      <c r="D10" s="7" t="s">
        <v>25</v>
      </c>
      <c r="E10" s="7" t="s">
        <v>13</v>
      </c>
      <c r="F10" s="7"/>
      <c r="G10" s="9" t="str">
        <f aca="false">IF(AND(ISNUMBER(F10),ISNUMBER(C10)),F10-C10,"")</f>
        <v/>
      </c>
      <c r="H10" s="10" t="str">
        <f aca="false">IF(AND(ISNUMBER(G10),ISNUMBER(C10),C10&lt;&gt;0),G10/C10,"")</f>
        <v/>
      </c>
      <c r="I10" s="7"/>
      <c r="J10" s="10" t="str">
        <f aca="false">IF(AND(ISNUMBER(F10),ISNUMBER(I10),F10&lt;&gt;0),1-(I10/F10),"")</f>
        <v/>
      </c>
    </row>
    <row r="11" customFormat="false" ht="15" hidden="false" customHeight="false" outlineLevel="0" collapsed="false">
      <c r="A11" s="3" t="s">
        <v>11</v>
      </c>
      <c r="B11" s="3" t="s">
        <v>26</v>
      </c>
      <c r="C11" s="3"/>
      <c r="D11" s="3"/>
      <c r="E11" s="3"/>
      <c r="F11" s="4" t="n">
        <v>10</v>
      </c>
      <c r="G11" s="5" t="str">
        <f aca="false">IF(AND(ISNUMBER(F11),ISNUMBER(C11)),F11-C11,"")</f>
        <v/>
      </c>
      <c r="H11" s="6" t="str">
        <f aca="false">IF(AND(ISNUMBER(G11),ISNUMBER(C11),C11&lt;&gt;0),G11/C11,"")</f>
        <v/>
      </c>
      <c r="I11" s="4" t="n">
        <v>2.5</v>
      </c>
      <c r="J11" s="6" t="n">
        <f aca="false">IF(AND(ISNUMBER(F11),ISNUMBER(I11),F11&lt;&gt;0),1-(I11/F11),"")</f>
        <v>0.75</v>
      </c>
    </row>
    <row r="12" customFormat="false" ht="15" hidden="false" customHeight="false" outlineLevel="0" collapsed="false">
      <c r="A12" s="7" t="s">
        <v>11</v>
      </c>
      <c r="B12" s="7" t="s">
        <v>27</v>
      </c>
      <c r="C12" s="7"/>
      <c r="D12" s="7"/>
      <c r="E12" s="7"/>
      <c r="F12" s="8" t="n">
        <v>14</v>
      </c>
      <c r="G12" s="9" t="str">
        <f aca="false">IF(AND(ISNUMBER(F12),ISNUMBER(C12)),F12-C12,"")</f>
        <v/>
      </c>
      <c r="H12" s="10" t="str">
        <f aca="false">IF(AND(ISNUMBER(G12),ISNUMBER(C12),C12&lt;&gt;0),G12/C12,"")</f>
        <v/>
      </c>
      <c r="I12" s="8" t="n">
        <v>4.25</v>
      </c>
      <c r="J12" s="10" t="n">
        <f aca="false">IF(AND(ISNUMBER(F12),ISNUMBER(I12),F12&lt;&gt;0),1-(I12/F12),"")</f>
        <v>0.696428571428571</v>
      </c>
    </row>
    <row r="13" customFormat="false" ht="15" hidden="false" customHeight="false" outlineLevel="0" collapsed="false">
      <c r="A13" s="3" t="s">
        <v>28</v>
      </c>
      <c r="B13" s="3" t="s">
        <v>29</v>
      </c>
      <c r="C13" s="4" t="n">
        <v>17</v>
      </c>
      <c r="D13" s="3" t="s">
        <v>30</v>
      </c>
      <c r="E13" s="3" t="s">
        <v>31</v>
      </c>
      <c r="F13" s="4" t="n">
        <v>15</v>
      </c>
      <c r="G13" s="5" t="n">
        <f aca="false">IF(AND(ISNUMBER(F13),ISNUMBER(C13)),F13-C13,"")</f>
        <v>-2</v>
      </c>
      <c r="H13" s="6" t="n">
        <f aca="false">IF(AND(ISNUMBER(G13),ISNUMBER(C13),C13&lt;&gt;0),G13/C13,"")</f>
        <v>-0.117647058823529</v>
      </c>
      <c r="I13" s="4" t="n">
        <v>3.75</v>
      </c>
      <c r="J13" s="6" t="n">
        <f aca="false">IF(AND(ISNUMBER(F13),ISNUMBER(I13),F13&lt;&gt;0),1-(I13/F13),"")</f>
        <v>0.75</v>
      </c>
    </row>
    <row r="14" customFormat="false" ht="15" hidden="false" customHeight="false" outlineLevel="0" collapsed="false">
      <c r="A14" s="7" t="s">
        <v>28</v>
      </c>
      <c r="B14" s="7" t="s">
        <v>32</v>
      </c>
      <c r="C14" s="8" t="n">
        <v>17</v>
      </c>
      <c r="D14" s="7" t="s">
        <v>13</v>
      </c>
      <c r="E14" s="7" t="s">
        <v>33</v>
      </c>
      <c r="F14" s="8" t="n">
        <v>16</v>
      </c>
      <c r="G14" s="9" t="n">
        <f aca="false">IF(AND(ISNUMBER(F14),ISNUMBER(C14)),F14-C14,"")</f>
        <v>-1</v>
      </c>
      <c r="H14" s="10" t="n">
        <f aca="false">IF(AND(ISNUMBER(G14),ISNUMBER(C14),C14&lt;&gt;0),G14/C14,"")</f>
        <v>-0.0588235294117647</v>
      </c>
      <c r="I14" s="8" t="n">
        <v>3.25</v>
      </c>
      <c r="J14" s="10" t="n">
        <f aca="false">IF(AND(ISNUMBER(F14),ISNUMBER(I14),F14&lt;&gt;0),1-(I14/F14),"")</f>
        <v>0.796875</v>
      </c>
    </row>
    <row r="15" customFormat="false" ht="15" hidden="false" customHeight="false" outlineLevel="0" collapsed="false">
      <c r="A15" s="3" t="s">
        <v>28</v>
      </c>
      <c r="B15" s="3" t="s">
        <v>34</v>
      </c>
      <c r="C15" s="4" t="n">
        <v>20</v>
      </c>
      <c r="D15" s="3" t="s">
        <v>13</v>
      </c>
      <c r="E15" s="3" t="s">
        <v>35</v>
      </c>
      <c r="F15" s="4" t="n">
        <v>19</v>
      </c>
      <c r="G15" s="5" t="n">
        <f aca="false">IF(AND(ISNUMBER(F15),ISNUMBER(C15)),F15-C15,"")</f>
        <v>-1</v>
      </c>
      <c r="H15" s="6" t="n">
        <f aca="false">IF(AND(ISNUMBER(G15),ISNUMBER(C15),C15&lt;&gt;0),G15/C15,"")</f>
        <v>-0.05</v>
      </c>
      <c r="I15" s="4" t="n">
        <v>5.5</v>
      </c>
      <c r="J15" s="6" t="n">
        <f aca="false">IF(AND(ISNUMBER(F15),ISNUMBER(I15),F15&lt;&gt;0),1-(I15/F15),"")</f>
        <v>0.710526315789474</v>
      </c>
    </row>
    <row r="16" customFormat="false" ht="15" hidden="false" customHeight="false" outlineLevel="0" collapsed="false">
      <c r="A16" s="7" t="s">
        <v>28</v>
      </c>
      <c r="B16" s="7" t="s">
        <v>36</v>
      </c>
      <c r="C16" s="8" t="n">
        <v>20</v>
      </c>
      <c r="D16" s="7" t="s">
        <v>13</v>
      </c>
      <c r="E16" s="7" t="s">
        <v>13</v>
      </c>
      <c r="F16" s="8" t="n">
        <v>18</v>
      </c>
      <c r="G16" s="9" t="n">
        <f aca="false">IF(AND(ISNUMBER(F16),ISNUMBER(C16)),F16-C16,"")</f>
        <v>-2</v>
      </c>
      <c r="H16" s="10" t="n">
        <f aca="false">IF(AND(ISNUMBER(G16),ISNUMBER(C16),C16&lt;&gt;0),G16/C16,"")</f>
        <v>-0.1</v>
      </c>
      <c r="I16" s="8" t="n">
        <v>5.75</v>
      </c>
      <c r="J16" s="10" t="n">
        <f aca="false">IF(AND(ISNUMBER(F16),ISNUMBER(I16),F16&lt;&gt;0),1-(I16/F16),"")</f>
        <v>0.680555555555556</v>
      </c>
    </row>
    <row r="17" customFormat="false" ht="15" hidden="false" customHeight="false" outlineLevel="0" collapsed="false">
      <c r="A17" s="3" t="s">
        <v>28</v>
      </c>
      <c r="B17" s="3" t="s">
        <v>37</v>
      </c>
      <c r="C17" s="4" t="n">
        <v>2</v>
      </c>
      <c r="D17" s="3" t="s">
        <v>13</v>
      </c>
      <c r="E17" s="3" t="s">
        <v>13</v>
      </c>
      <c r="F17" s="4" t="n">
        <v>3</v>
      </c>
      <c r="G17" s="5" t="n">
        <f aca="false">IF(AND(ISNUMBER(F17),ISNUMBER(C17)),F17-C17,"")</f>
        <v>1</v>
      </c>
      <c r="H17" s="6" t="n">
        <f aca="false">IF(AND(ISNUMBER(G17),ISNUMBER(C17),C17&lt;&gt;0),G17/C17,"")</f>
        <v>0.5</v>
      </c>
      <c r="I17" s="4" t="n">
        <v>0.75</v>
      </c>
      <c r="J17" s="6" t="n">
        <f aca="false">IF(AND(ISNUMBER(F17),ISNUMBER(I17),F17&lt;&gt;0),1-(I17/F17),"")</f>
        <v>0.75</v>
      </c>
    </row>
    <row r="18" customFormat="false" ht="15" hidden="false" customHeight="false" outlineLevel="0" collapsed="false">
      <c r="A18" s="7" t="s">
        <v>28</v>
      </c>
      <c r="B18" s="7" t="s">
        <v>17</v>
      </c>
      <c r="C18" s="8" t="n">
        <v>8</v>
      </c>
      <c r="D18" s="7" t="s">
        <v>13</v>
      </c>
      <c r="E18" s="7" t="s">
        <v>13</v>
      </c>
      <c r="F18" s="8" t="n">
        <v>6</v>
      </c>
      <c r="G18" s="9" t="n">
        <f aca="false">IF(AND(ISNUMBER(F18),ISNUMBER(C18)),F18-C18,"")</f>
        <v>-2</v>
      </c>
      <c r="H18" s="10" t="n">
        <f aca="false">IF(AND(ISNUMBER(G18),ISNUMBER(C18),C18&lt;&gt;0),G18/C18,"")</f>
        <v>-0.25</v>
      </c>
      <c r="I18" s="8" t="n">
        <v>2.5</v>
      </c>
      <c r="J18" s="10" t="n">
        <f aca="false">IF(AND(ISNUMBER(F18),ISNUMBER(I18),F18&lt;&gt;0),1-(I18/F18),"")</f>
        <v>0.583333333333333</v>
      </c>
    </row>
    <row r="19" customFormat="false" ht="15" hidden="false" customHeight="false" outlineLevel="0" collapsed="false">
      <c r="A19" s="2" t="s">
        <v>38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7" t="s">
        <v>39</v>
      </c>
      <c r="B20" s="7" t="s">
        <v>40</v>
      </c>
      <c r="C20" s="8" t="n">
        <v>16</v>
      </c>
      <c r="D20" s="7" t="s">
        <v>41</v>
      </c>
      <c r="E20" s="7" t="s">
        <v>42</v>
      </c>
      <c r="F20" s="8" t="n">
        <v>17</v>
      </c>
      <c r="G20" s="9" t="n">
        <f aca="false">IF(AND(ISNUMBER(F20),ISNUMBER(C20)),F20-C20,"")</f>
        <v>1</v>
      </c>
      <c r="H20" s="10" t="n">
        <f aca="false">IF(AND(ISNUMBER(G20),ISNUMBER(C20),C20&lt;&gt;0),G20/C20,"")</f>
        <v>0.0625</v>
      </c>
      <c r="I20" s="8" t="n">
        <v>4.75</v>
      </c>
      <c r="J20" s="10" t="n">
        <f aca="false">IF(AND(ISNUMBER(F20),ISNUMBER(I20),F20&lt;&gt;0),1-(I20/F20),"")</f>
        <v>0.720588235294118</v>
      </c>
    </row>
    <row r="21" customFormat="false" ht="15" hidden="false" customHeight="false" outlineLevel="0" collapsed="false">
      <c r="A21" s="3" t="s">
        <v>39</v>
      </c>
      <c r="B21" s="3" t="s">
        <v>43</v>
      </c>
      <c r="C21" s="4" t="n">
        <v>16</v>
      </c>
      <c r="D21" s="3" t="s">
        <v>13</v>
      </c>
      <c r="E21" s="3" t="s">
        <v>13</v>
      </c>
      <c r="F21" s="4" t="n">
        <v>17</v>
      </c>
      <c r="G21" s="5" t="n">
        <f aca="false">IF(AND(ISNUMBER(F21),ISNUMBER(C21)),F21-C21,"")</f>
        <v>1</v>
      </c>
      <c r="H21" s="6" t="n">
        <f aca="false">IF(AND(ISNUMBER(G21),ISNUMBER(C21),C21&lt;&gt;0),G21/C21,"")</f>
        <v>0.0625</v>
      </c>
      <c r="I21" s="4" t="n">
        <v>5</v>
      </c>
      <c r="J21" s="6" t="n">
        <f aca="false">IF(AND(ISNUMBER(F21),ISNUMBER(I21),F21&lt;&gt;0),1-(I21/F21),"")</f>
        <v>0.705882352941176</v>
      </c>
    </row>
    <row r="22" customFormat="false" ht="15" hidden="false" customHeight="false" outlineLevel="0" collapsed="false">
      <c r="A22" s="7" t="s">
        <v>39</v>
      </c>
      <c r="B22" s="7" t="s">
        <v>44</v>
      </c>
      <c r="C22" s="8" t="n">
        <v>16</v>
      </c>
      <c r="D22" s="7" t="s">
        <v>13</v>
      </c>
      <c r="E22" s="7" t="s">
        <v>13</v>
      </c>
      <c r="F22" s="8" t="n">
        <v>17</v>
      </c>
      <c r="G22" s="9" t="n">
        <f aca="false">IF(AND(ISNUMBER(F22),ISNUMBER(C22)),F22-C22,"")</f>
        <v>1</v>
      </c>
      <c r="H22" s="10" t="n">
        <f aca="false">IF(AND(ISNUMBER(G22),ISNUMBER(C22),C22&lt;&gt;0),G22/C22,"")</f>
        <v>0.0625</v>
      </c>
      <c r="I22" s="8" t="n">
        <v>4.5</v>
      </c>
      <c r="J22" s="10" t="n">
        <f aca="false">IF(AND(ISNUMBER(F22),ISNUMBER(I22),F22&lt;&gt;0),1-(I22/F22),"")</f>
        <v>0.735294117647059</v>
      </c>
    </row>
    <row r="23" customFormat="false" ht="15" hidden="false" customHeight="false" outlineLevel="0" collapsed="false">
      <c r="A23" s="3" t="s">
        <v>39</v>
      </c>
      <c r="B23" s="3" t="s">
        <v>45</v>
      </c>
      <c r="C23" s="4" t="n">
        <v>16</v>
      </c>
      <c r="D23" s="3" t="s">
        <v>13</v>
      </c>
      <c r="E23" s="3" t="s">
        <v>13</v>
      </c>
      <c r="F23" s="4" t="n">
        <v>17</v>
      </c>
      <c r="G23" s="5" t="n">
        <f aca="false">IF(AND(ISNUMBER(F23),ISNUMBER(C23)),F23-C23,"")</f>
        <v>1</v>
      </c>
      <c r="H23" s="6" t="n">
        <f aca="false">IF(AND(ISNUMBER(G23),ISNUMBER(C23),C23&lt;&gt;0),G23/C23,"")</f>
        <v>0.0625</v>
      </c>
      <c r="I23" s="4" t="n">
        <v>5.25</v>
      </c>
      <c r="J23" s="6" t="n">
        <f aca="false">IF(AND(ISNUMBER(F23),ISNUMBER(I23),F23&lt;&gt;0),1-(I23/F23),"")</f>
        <v>0.691176470588235</v>
      </c>
    </row>
    <row r="24" customFormat="false" ht="15" hidden="false" customHeight="false" outlineLevel="0" collapsed="false">
      <c r="A24" s="7" t="s">
        <v>39</v>
      </c>
      <c r="B24" s="7" t="s">
        <v>46</v>
      </c>
      <c r="C24" s="8" t="n">
        <v>16</v>
      </c>
      <c r="D24" s="7" t="s">
        <v>13</v>
      </c>
      <c r="E24" s="7" t="s">
        <v>13</v>
      </c>
      <c r="F24" s="8" t="n">
        <v>17</v>
      </c>
      <c r="G24" s="9" t="n">
        <f aca="false">IF(AND(ISNUMBER(F24),ISNUMBER(C24)),F24-C24,"")</f>
        <v>1</v>
      </c>
      <c r="H24" s="10" t="n">
        <f aca="false">IF(AND(ISNUMBER(G24),ISNUMBER(C24),C24&lt;&gt;0),G24/C24,"")</f>
        <v>0.0625</v>
      </c>
      <c r="I24" s="8" t="n">
        <v>5</v>
      </c>
      <c r="J24" s="10" t="n">
        <f aca="false">IF(AND(ISNUMBER(F24),ISNUMBER(I24),F24&lt;&gt;0),1-(I24/F24),"")</f>
        <v>0.705882352941176</v>
      </c>
    </row>
    <row r="25" customFormat="false" ht="15" hidden="false" customHeight="false" outlineLevel="0" collapsed="false">
      <c r="A25" s="3" t="s">
        <v>39</v>
      </c>
      <c r="B25" s="3" t="s">
        <v>47</v>
      </c>
      <c r="C25" s="4" t="n">
        <v>16</v>
      </c>
      <c r="D25" s="3" t="s">
        <v>13</v>
      </c>
      <c r="E25" s="3" t="s">
        <v>13</v>
      </c>
      <c r="F25" s="4" t="n">
        <v>17</v>
      </c>
      <c r="G25" s="5" t="n">
        <f aca="false">IF(AND(ISNUMBER(F25),ISNUMBER(C25)),F25-C25,"")</f>
        <v>1</v>
      </c>
      <c r="H25" s="6" t="n">
        <f aca="false">IF(AND(ISNUMBER(G25),ISNUMBER(C25),C25&lt;&gt;0),G25/C25,"")</f>
        <v>0.0625</v>
      </c>
      <c r="I25" s="4" t="n">
        <v>4.75</v>
      </c>
      <c r="J25" s="6" t="n">
        <f aca="false">IF(AND(ISNUMBER(F25),ISNUMBER(I25),F25&lt;&gt;0),1-(I25/F25),"")</f>
        <v>0.720588235294118</v>
      </c>
    </row>
    <row r="26" customFormat="false" ht="15" hidden="false" customHeight="false" outlineLevel="0" collapsed="false">
      <c r="A26" s="7" t="s">
        <v>39</v>
      </c>
      <c r="B26" s="7" t="s">
        <v>48</v>
      </c>
      <c r="C26" s="8" t="n">
        <v>16</v>
      </c>
      <c r="D26" s="7" t="s">
        <v>13</v>
      </c>
      <c r="E26" s="7" t="s">
        <v>13</v>
      </c>
      <c r="F26" s="8" t="n">
        <v>17</v>
      </c>
      <c r="G26" s="9" t="n">
        <f aca="false">IF(AND(ISNUMBER(F26),ISNUMBER(C26)),F26-C26,"")</f>
        <v>1</v>
      </c>
      <c r="H26" s="10" t="n">
        <f aca="false">IF(AND(ISNUMBER(G26),ISNUMBER(C26),C26&lt;&gt;0),G26/C26,"")</f>
        <v>0.0625</v>
      </c>
      <c r="I26" s="8" t="n">
        <v>4.25</v>
      </c>
      <c r="J26" s="10" t="n">
        <f aca="false">IF(AND(ISNUMBER(F26),ISNUMBER(I26),F26&lt;&gt;0),1-(I26/F26),"")</f>
        <v>0.75</v>
      </c>
    </row>
    <row r="27" customFormat="false" ht="15" hidden="false" customHeight="false" outlineLevel="0" collapsed="false">
      <c r="A27" s="3" t="s">
        <v>39</v>
      </c>
      <c r="B27" s="3" t="s">
        <v>49</v>
      </c>
      <c r="C27" s="4" t="n">
        <v>21</v>
      </c>
      <c r="D27" s="3" t="s">
        <v>13</v>
      </c>
      <c r="E27" s="3" t="s">
        <v>13</v>
      </c>
      <c r="F27" s="4" t="n">
        <v>22</v>
      </c>
      <c r="G27" s="5" t="n">
        <f aca="false">IF(AND(ISNUMBER(F27),ISNUMBER(C27)),F27-C27,"")</f>
        <v>1</v>
      </c>
      <c r="H27" s="6" t="n">
        <f aca="false">IF(AND(ISNUMBER(G27),ISNUMBER(C27),C27&lt;&gt;0),G27/C27,"")</f>
        <v>0.0476190476190476</v>
      </c>
      <c r="I27" s="4" t="n">
        <v>6.5</v>
      </c>
      <c r="J27" s="6" t="n">
        <f aca="false">IF(AND(ISNUMBER(F27),ISNUMBER(I27),F27&lt;&gt;0),1-(I27/F27),"")</f>
        <v>0.704545454545455</v>
      </c>
    </row>
    <row r="28" customFormat="false" ht="15" hidden="false" customHeight="false" outlineLevel="0" collapsed="false">
      <c r="A28" s="7" t="s">
        <v>39</v>
      </c>
      <c r="B28" s="7" t="s">
        <v>50</v>
      </c>
      <c r="C28" s="8" t="n">
        <v>4</v>
      </c>
      <c r="D28" s="7" t="s">
        <v>13</v>
      </c>
      <c r="E28" s="7" t="s">
        <v>13</v>
      </c>
      <c r="F28" s="8" t="n">
        <v>5</v>
      </c>
      <c r="G28" s="9" t="n">
        <f aca="false">IF(AND(ISNUMBER(F28),ISNUMBER(C28)),F28-C28,"")</f>
        <v>1</v>
      </c>
      <c r="H28" s="10" t="n">
        <f aca="false">IF(AND(ISNUMBER(G28),ISNUMBER(C28),C28&lt;&gt;0),G28/C28,"")</f>
        <v>0.25</v>
      </c>
      <c r="I28" s="8" t="n">
        <v>2.25</v>
      </c>
      <c r="J28" s="10" t="n">
        <f aca="false">IF(AND(ISNUMBER(F28),ISNUMBER(I28),F28&lt;&gt;0),1-(I28/F28),"")</f>
        <v>0.55</v>
      </c>
    </row>
    <row r="29" customFormat="false" ht="15" hidden="false" customHeight="false" outlineLevel="0" collapsed="false">
      <c r="A29" s="3" t="s">
        <v>51</v>
      </c>
      <c r="B29" s="3" t="s">
        <v>52</v>
      </c>
      <c r="C29" s="4" t="n">
        <v>19</v>
      </c>
      <c r="D29" s="3" t="s">
        <v>13</v>
      </c>
      <c r="E29" s="3" t="s">
        <v>53</v>
      </c>
      <c r="F29" s="4" t="n">
        <v>19</v>
      </c>
      <c r="G29" s="5" t="n">
        <f aca="false">IF(AND(ISNUMBER(F29),ISNUMBER(C29)),F29-C29,"")</f>
        <v>0</v>
      </c>
      <c r="H29" s="6" t="n">
        <f aca="false">IF(AND(ISNUMBER(G29),ISNUMBER(C29),C29&lt;&gt;0),G29/C29,"")</f>
        <v>0</v>
      </c>
      <c r="I29" s="4" t="n">
        <v>5.5</v>
      </c>
      <c r="J29" s="6" t="n">
        <f aca="false">IF(AND(ISNUMBER(F29),ISNUMBER(I29),F29&lt;&gt;0),1-(I29/F29),"")</f>
        <v>0.710526315789474</v>
      </c>
    </row>
    <row r="30" customFormat="false" ht="15" hidden="false" customHeight="false" outlineLevel="0" collapsed="false">
      <c r="A30" s="7" t="s">
        <v>51</v>
      </c>
      <c r="B30" s="7" t="s">
        <v>54</v>
      </c>
      <c r="C30" s="8" t="n">
        <v>22</v>
      </c>
      <c r="D30" s="7" t="s">
        <v>13</v>
      </c>
      <c r="E30" s="7" t="s">
        <v>13</v>
      </c>
      <c r="F30" s="8" t="n">
        <v>22</v>
      </c>
      <c r="G30" s="9" t="n">
        <f aca="false">IF(AND(ISNUMBER(F30),ISNUMBER(C30)),F30-C30,"")</f>
        <v>0</v>
      </c>
      <c r="H30" s="10" t="n">
        <f aca="false">IF(AND(ISNUMBER(G30),ISNUMBER(C30),C30&lt;&gt;0),G30/C30,"")</f>
        <v>0</v>
      </c>
      <c r="I30" s="8" t="n">
        <v>6.25</v>
      </c>
      <c r="J30" s="10" t="n">
        <f aca="false">IF(AND(ISNUMBER(F30),ISNUMBER(I30),F30&lt;&gt;0),1-(I30/F30),"")</f>
        <v>0.715909090909091</v>
      </c>
    </row>
    <row r="31" customFormat="false" ht="15" hidden="false" customHeight="false" outlineLevel="0" collapsed="false">
      <c r="A31" s="3" t="s">
        <v>51</v>
      </c>
      <c r="B31" s="3" t="s">
        <v>55</v>
      </c>
      <c r="C31" s="4" t="n">
        <v>22</v>
      </c>
      <c r="D31" s="3" t="s">
        <v>13</v>
      </c>
      <c r="E31" s="3" t="s">
        <v>13</v>
      </c>
      <c r="F31" s="4" t="n">
        <v>22</v>
      </c>
      <c r="G31" s="5" t="n">
        <f aca="false">IF(AND(ISNUMBER(F31),ISNUMBER(C31)),F31-C31,"")</f>
        <v>0</v>
      </c>
      <c r="H31" s="6" t="n">
        <f aca="false">IF(AND(ISNUMBER(G31),ISNUMBER(C31),C31&lt;&gt;0),G31/C31,"")</f>
        <v>0</v>
      </c>
      <c r="I31" s="4" t="n">
        <v>6.5</v>
      </c>
      <c r="J31" s="6" t="n">
        <f aca="false">IF(AND(ISNUMBER(F31),ISNUMBER(I31),F31&lt;&gt;0),1-(I31/F31),"")</f>
        <v>0.704545454545455</v>
      </c>
    </row>
    <row r="32" customFormat="false" ht="15" hidden="false" customHeight="false" outlineLevel="0" collapsed="false">
      <c r="A32" s="7" t="s">
        <v>51</v>
      </c>
      <c r="B32" s="7" t="s">
        <v>56</v>
      </c>
      <c r="C32" s="8" t="n">
        <v>18</v>
      </c>
      <c r="D32" s="7" t="s">
        <v>13</v>
      </c>
      <c r="E32" s="7" t="s">
        <v>57</v>
      </c>
      <c r="F32" s="8" t="n">
        <v>18</v>
      </c>
      <c r="G32" s="9" t="n">
        <f aca="false">IF(AND(ISNUMBER(F32),ISNUMBER(C32)),F32-C32,"")</f>
        <v>0</v>
      </c>
      <c r="H32" s="10" t="n">
        <f aca="false">IF(AND(ISNUMBER(G32),ISNUMBER(C32),C32&lt;&gt;0),G32/C32,"")</f>
        <v>0</v>
      </c>
      <c r="I32" s="8" t="n">
        <v>4.75</v>
      </c>
      <c r="J32" s="10" t="n">
        <f aca="false">IF(AND(ISNUMBER(F32),ISNUMBER(I32),F32&lt;&gt;0),1-(I32/F32),"")</f>
        <v>0.736111111111111</v>
      </c>
    </row>
    <row r="33" customFormat="false" ht="15" hidden="false" customHeight="false" outlineLevel="0" collapsed="false">
      <c r="A33" s="3" t="s">
        <v>51</v>
      </c>
      <c r="B33" s="3" t="s">
        <v>58</v>
      </c>
      <c r="C33" s="4" t="n">
        <v>22</v>
      </c>
      <c r="D33" s="3" t="s">
        <v>13</v>
      </c>
      <c r="E33" s="3" t="s">
        <v>13</v>
      </c>
      <c r="F33" s="4" t="n">
        <v>22</v>
      </c>
      <c r="G33" s="5" t="n">
        <f aca="false">IF(AND(ISNUMBER(F33),ISNUMBER(C33)),F33-C33,"")</f>
        <v>0</v>
      </c>
      <c r="H33" s="6" t="n">
        <f aca="false">IF(AND(ISNUMBER(G33),ISNUMBER(C33),C33&lt;&gt;0),G33/C33,"")</f>
        <v>0</v>
      </c>
      <c r="I33" s="4" t="n">
        <v>6</v>
      </c>
      <c r="J33" s="6" t="n">
        <f aca="false">IF(AND(ISNUMBER(F33),ISNUMBER(I33),F33&lt;&gt;0),1-(I33/F33),"")</f>
        <v>0.727272727272727</v>
      </c>
    </row>
    <row r="34" customFormat="false" ht="15" hidden="false" customHeight="false" outlineLevel="0" collapsed="false">
      <c r="A34" s="7" t="s">
        <v>51</v>
      </c>
      <c r="B34" s="7" t="s">
        <v>59</v>
      </c>
      <c r="C34" s="8" t="n">
        <v>22</v>
      </c>
      <c r="D34" s="7" t="s">
        <v>60</v>
      </c>
      <c r="E34" s="7" t="s">
        <v>13</v>
      </c>
      <c r="F34" s="8" t="n">
        <v>22</v>
      </c>
      <c r="G34" s="9" t="n">
        <f aca="false">IF(AND(ISNUMBER(F34),ISNUMBER(C34)),F34-C34,"")</f>
        <v>0</v>
      </c>
      <c r="H34" s="10" t="n">
        <f aca="false">IF(AND(ISNUMBER(G34),ISNUMBER(C34),C34&lt;&gt;0),G34/C34,"")</f>
        <v>0</v>
      </c>
      <c r="I34" s="8" t="n">
        <v>6.75</v>
      </c>
      <c r="J34" s="10" t="n">
        <f aca="false">IF(AND(ISNUMBER(F34),ISNUMBER(I34),F34&lt;&gt;0),1-(I34/F34),"")</f>
        <v>0.693181818181818</v>
      </c>
    </row>
    <row r="35" customFormat="false" ht="15" hidden="false" customHeight="false" outlineLevel="0" collapsed="false">
      <c r="A35" s="3" t="s">
        <v>61</v>
      </c>
      <c r="B35" s="3" t="s">
        <v>62</v>
      </c>
      <c r="C35" s="4" t="n">
        <v>17</v>
      </c>
      <c r="D35" s="3" t="s">
        <v>13</v>
      </c>
      <c r="E35" s="3" t="s">
        <v>63</v>
      </c>
      <c r="F35" s="4" t="n">
        <v>17</v>
      </c>
      <c r="G35" s="5" t="n">
        <f aca="false">IF(AND(ISNUMBER(F35),ISNUMBER(C35)),F35-C35,"")</f>
        <v>0</v>
      </c>
      <c r="H35" s="6" t="n">
        <f aca="false">IF(AND(ISNUMBER(G35),ISNUMBER(C35),C35&lt;&gt;0),G35/C35,"")</f>
        <v>0</v>
      </c>
      <c r="I35" s="4" t="n">
        <v>5</v>
      </c>
      <c r="J35" s="6" t="n">
        <f aca="false">IF(AND(ISNUMBER(F35),ISNUMBER(I35),F35&lt;&gt;0),1-(I35/F35),"")</f>
        <v>0.705882352941176</v>
      </c>
    </row>
    <row r="36" customFormat="false" ht="15" hidden="false" customHeight="false" outlineLevel="0" collapsed="false">
      <c r="A36" s="2" t="s">
        <v>64</v>
      </c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false" outlineLevel="0" collapsed="false">
      <c r="A37" s="3" t="s">
        <v>65</v>
      </c>
      <c r="B37" s="3" t="s">
        <v>66</v>
      </c>
      <c r="C37" s="4" t="n">
        <v>3</v>
      </c>
      <c r="D37" s="3" t="s">
        <v>13</v>
      </c>
      <c r="E37" s="3" t="s">
        <v>13</v>
      </c>
      <c r="F37" s="4" t="n">
        <v>5</v>
      </c>
      <c r="G37" s="5" t="n">
        <f aca="false">IF(AND(ISNUMBER(F37),ISNUMBER(C37)),F37-C37,"")</f>
        <v>2</v>
      </c>
      <c r="H37" s="6" t="n">
        <f aca="false">IF(AND(ISNUMBER(G37),ISNUMBER(C37),C37&lt;&gt;0),G37/C37,"")</f>
        <v>0.666666666666667</v>
      </c>
      <c r="I37" s="4" t="n">
        <v>1.25</v>
      </c>
      <c r="J37" s="6" t="n">
        <f aca="false">IF(AND(ISNUMBER(F37),ISNUMBER(I37),F37&lt;&gt;0),1-(I37/F37),"")</f>
        <v>0.75</v>
      </c>
    </row>
    <row r="38" customFormat="false" ht="15" hidden="false" customHeight="false" outlineLevel="0" collapsed="false">
      <c r="A38" s="7" t="s">
        <v>65</v>
      </c>
      <c r="B38" s="7" t="s">
        <v>67</v>
      </c>
      <c r="C38" s="8" t="n">
        <v>6</v>
      </c>
      <c r="D38" s="7" t="s">
        <v>68</v>
      </c>
      <c r="E38" s="7" t="s">
        <v>69</v>
      </c>
      <c r="F38" s="8" t="n">
        <v>6</v>
      </c>
      <c r="G38" s="9" t="n">
        <f aca="false">IF(AND(ISNUMBER(F38),ISNUMBER(C38)),F38-C38,"")</f>
        <v>0</v>
      </c>
      <c r="H38" s="10" t="n">
        <f aca="false">IF(AND(ISNUMBER(G38),ISNUMBER(C38),C38&lt;&gt;0),G38/C38,"")</f>
        <v>0</v>
      </c>
      <c r="I38" s="8" t="n">
        <v>1.5</v>
      </c>
      <c r="J38" s="10" t="n">
        <f aca="false">IF(AND(ISNUMBER(F38),ISNUMBER(I38),F38&lt;&gt;0),1-(I38/F38),"")</f>
        <v>0.75</v>
      </c>
    </row>
    <row r="39" customFormat="false" ht="15" hidden="false" customHeight="false" outlineLevel="0" collapsed="false">
      <c r="A39" s="3" t="s">
        <v>65</v>
      </c>
      <c r="B39" s="3" t="s">
        <v>70</v>
      </c>
      <c r="C39" s="4" t="n">
        <v>7</v>
      </c>
      <c r="D39" s="3" t="s">
        <v>13</v>
      </c>
      <c r="E39" s="3" t="s">
        <v>13</v>
      </c>
      <c r="F39" s="4" t="n">
        <v>7</v>
      </c>
      <c r="G39" s="5" t="n">
        <f aca="false">IF(AND(ISNUMBER(F39),ISNUMBER(C39)),F39-C39,"")</f>
        <v>0</v>
      </c>
      <c r="H39" s="6" t="n">
        <f aca="false">IF(AND(ISNUMBER(G39),ISNUMBER(C39),C39&lt;&gt;0),G39/C39,"")</f>
        <v>0</v>
      </c>
      <c r="I39" s="4" t="n">
        <v>2</v>
      </c>
      <c r="J39" s="6" t="n">
        <f aca="false">IF(AND(ISNUMBER(F39),ISNUMBER(I39),F39&lt;&gt;0),1-(I39/F39),"")</f>
        <v>0.714285714285714</v>
      </c>
    </row>
    <row r="40" customFormat="false" ht="15" hidden="false" customHeight="false" outlineLevel="0" collapsed="false">
      <c r="A40" s="7" t="s">
        <v>65</v>
      </c>
      <c r="B40" s="7" t="s">
        <v>71</v>
      </c>
      <c r="C40" s="8" t="n">
        <v>8</v>
      </c>
      <c r="D40" s="7" t="s">
        <v>13</v>
      </c>
      <c r="E40" s="7" t="s">
        <v>13</v>
      </c>
      <c r="F40" s="8" t="n">
        <v>8</v>
      </c>
      <c r="G40" s="9" t="n">
        <f aca="false">IF(AND(ISNUMBER(F40),ISNUMBER(C40)),F40-C40,"")</f>
        <v>0</v>
      </c>
      <c r="H40" s="10" t="n">
        <f aca="false">IF(AND(ISNUMBER(G40),ISNUMBER(C40),C40&lt;&gt;0),G40/C40,"")</f>
        <v>0</v>
      </c>
      <c r="I40" s="8" t="n">
        <v>2.5</v>
      </c>
      <c r="J40" s="10" t="n">
        <f aca="false">IF(AND(ISNUMBER(F40),ISNUMBER(I40),F40&lt;&gt;0),1-(I40/F40),"")</f>
        <v>0.6875</v>
      </c>
    </row>
    <row r="41" customFormat="false" ht="15" hidden="false" customHeight="false" outlineLevel="0" collapsed="false">
      <c r="A41" s="3" t="s">
        <v>65</v>
      </c>
      <c r="B41" s="3" t="s">
        <v>72</v>
      </c>
      <c r="C41" s="4" t="n">
        <v>9</v>
      </c>
      <c r="D41" s="3" t="s">
        <v>73</v>
      </c>
      <c r="E41" s="3" t="s">
        <v>74</v>
      </c>
      <c r="F41" s="4" t="n">
        <v>9</v>
      </c>
      <c r="G41" s="5" t="n">
        <f aca="false">IF(AND(ISNUMBER(F41),ISNUMBER(C41)),F41-C41,"")</f>
        <v>0</v>
      </c>
      <c r="H41" s="6" t="n">
        <f aca="false">IF(AND(ISNUMBER(G41),ISNUMBER(C41),C41&lt;&gt;0),G41/C41,"")</f>
        <v>0</v>
      </c>
      <c r="I41" s="4" t="n">
        <v>2.25</v>
      </c>
      <c r="J41" s="6" t="n">
        <f aca="false">IF(AND(ISNUMBER(F41),ISNUMBER(I41),F41&lt;&gt;0),1-(I41/F41),"")</f>
        <v>0.75</v>
      </c>
    </row>
    <row r="42" customFormat="false" ht="15" hidden="false" customHeight="false" outlineLevel="0" collapsed="false">
      <c r="A42" s="7" t="s">
        <v>65</v>
      </c>
      <c r="B42" s="7" t="s">
        <v>75</v>
      </c>
      <c r="C42" s="8" t="n">
        <v>10</v>
      </c>
      <c r="D42" s="7" t="s">
        <v>13</v>
      </c>
      <c r="E42" s="7" t="s">
        <v>13</v>
      </c>
      <c r="F42" s="8" t="n">
        <v>9</v>
      </c>
      <c r="G42" s="9" t="n">
        <f aca="false">IF(AND(ISNUMBER(F42),ISNUMBER(C42)),F42-C42,"")</f>
        <v>-1</v>
      </c>
      <c r="H42" s="10" t="n">
        <f aca="false">IF(AND(ISNUMBER(G42),ISNUMBER(C42),C42&lt;&gt;0),G42/C42,"")</f>
        <v>-0.1</v>
      </c>
      <c r="I42" s="8" t="n">
        <v>3</v>
      </c>
      <c r="J42" s="10" t="n">
        <f aca="false">IF(AND(ISNUMBER(F42),ISNUMBER(I42),F42&lt;&gt;0),1-(I42/F42),"")</f>
        <v>0.666666666666667</v>
      </c>
    </row>
    <row r="43" customFormat="false" ht="15" hidden="false" customHeight="false" outlineLevel="0" collapsed="false">
      <c r="A43" s="3" t="s">
        <v>65</v>
      </c>
      <c r="B43" s="3" t="s">
        <v>76</v>
      </c>
      <c r="C43" s="4" t="n">
        <v>12</v>
      </c>
      <c r="D43" s="3" t="s">
        <v>13</v>
      </c>
      <c r="E43" s="3" t="s">
        <v>13</v>
      </c>
      <c r="F43" s="4" t="n">
        <v>11</v>
      </c>
      <c r="G43" s="5" t="n">
        <f aca="false">IF(AND(ISNUMBER(F43),ISNUMBER(C43)),F43-C43,"")</f>
        <v>-1</v>
      </c>
      <c r="H43" s="6" t="n">
        <f aca="false">IF(AND(ISNUMBER(G43),ISNUMBER(C43),C43&lt;&gt;0),G43/C43,"")</f>
        <v>-0.0833333333333333</v>
      </c>
      <c r="I43" s="4" t="n">
        <v>2.75</v>
      </c>
      <c r="J43" s="6" t="n">
        <f aca="false">IF(AND(ISNUMBER(F43),ISNUMBER(I43),F43&lt;&gt;0),1-(I43/F43),"")</f>
        <v>0.75</v>
      </c>
    </row>
    <row r="44" customFormat="false" ht="15" hidden="false" customHeight="false" outlineLevel="0" collapsed="false">
      <c r="A44" s="2" t="s">
        <v>77</v>
      </c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false" outlineLevel="0" collapsed="false">
      <c r="A45" s="3" t="s">
        <v>78</v>
      </c>
      <c r="B45" s="3" t="s">
        <v>79</v>
      </c>
      <c r="C45" s="4" t="n">
        <v>12</v>
      </c>
      <c r="D45" s="3" t="s">
        <v>13</v>
      </c>
      <c r="E45" s="3" t="s">
        <v>13</v>
      </c>
      <c r="F45" s="4" t="n">
        <v>14</v>
      </c>
      <c r="G45" s="5" t="n">
        <f aca="false">IF(AND(ISNUMBER(F45),ISNUMBER(C45)),F45-C45,"")</f>
        <v>2</v>
      </c>
      <c r="H45" s="6" t="n">
        <f aca="false">IF(AND(ISNUMBER(G45),ISNUMBER(C45),C45&lt;&gt;0),G45/C45,"")</f>
        <v>0.166666666666667</v>
      </c>
      <c r="I45" s="4" t="n">
        <v>3.5</v>
      </c>
      <c r="J45" s="6" t="n">
        <f aca="false">IF(AND(ISNUMBER(F45),ISNUMBER(I45),F45&lt;&gt;0),1-(I45/F45),"")</f>
        <v>0.75</v>
      </c>
    </row>
    <row r="46" customFormat="false" ht="15" hidden="false" customHeight="false" outlineLevel="0" collapsed="false">
      <c r="A46" s="7" t="s">
        <v>78</v>
      </c>
      <c r="B46" s="7" t="s">
        <v>80</v>
      </c>
      <c r="C46" s="8" t="n">
        <v>17</v>
      </c>
      <c r="D46" s="7" t="s">
        <v>13</v>
      </c>
      <c r="E46" s="7" t="s">
        <v>13</v>
      </c>
      <c r="F46" s="8" t="n">
        <v>17</v>
      </c>
      <c r="G46" s="9" t="n">
        <f aca="false">IF(AND(ISNUMBER(F46),ISNUMBER(C46)),F46-C46,"")</f>
        <v>0</v>
      </c>
      <c r="H46" s="10" t="n">
        <f aca="false">IF(AND(ISNUMBER(G46),ISNUMBER(C46),C46&lt;&gt;0),G46/C46,"")</f>
        <v>0</v>
      </c>
      <c r="I46" s="8" t="n">
        <v>4.5</v>
      </c>
      <c r="J46" s="10" t="n">
        <f aca="false">IF(AND(ISNUMBER(F46),ISNUMBER(I46),F46&lt;&gt;0),1-(I46/F46),"")</f>
        <v>0.735294117647059</v>
      </c>
    </row>
    <row r="47" customFormat="false" ht="15" hidden="false" customHeight="false" outlineLevel="0" collapsed="false">
      <c r="A47" s="3" t="s">
        <v>78</v>
      </c>
      <c r="B47" s="3" t="s">
        <v>81</v>
      </c>
      <c r="C47" s="4" t="n">
        <v>17</v>
      </c>
      <c r="D47" s="3" t="s">
        <v>13</v>
      </c>
      <c r="E47" s="3" t="s">
        <v>13</v>
      </c>
      <c r="F47" s="4" t="n">
        <v>17</v>
      </c>
      <c r="G47" s="5" t="n">
        <f aca="false">IF(AND(ISNUMBER(F47),ISNUMBER(C47)),F47-C47,"")</f>
        <v>0</v>
      </c>
      <c r="H47" s="6" t="n">
        <f aca="false">IF(AND(ISNUMBER(G47),ISNUMBER(C47),C47&lt;&gt;0),G47/C47,"")</f>
        <v>0</v>
      </c>
      <c r="I47" s="4" t="n">
        <v>4</v>
      </c>
      <c r="J47" s="6" t="n">
        <f aca="false">IF(AND(ISNUMBER(F47),ISNUMBER(I47),F47&lt;&gt;0),1-(I47/F47),"")</f>
        <v>0.764705882352941</v>
      </c>
    </row>
    <row r="48" customFormat="false" ht="15" hidden="false" customHeight="false" outlineLevel="0" collapsed="false">
      <c r="A48" s="7" t="s">
        <v>78</v>
      </c>
      <c r="B48" s="7" t="s">
        <v>82</v>
      </c>
      <c r="C48" s="8" t="n">
        <v>19</v>
      </c>
      <c r="D48" s="7" t="s">
        <v>13</v>
      </c>
      <c r="E48" s="7" t="s">
        <v>13</v>
      </c>
      <c r="F48" s="8" t="n">
        <v>19</v>
      </c>
      <c r="G48" s="9" t="n">
        <f aca="false">IF(AND(ISNUMBER(F48),ISNUMBER(C48)),F48-C48,"")</f>
        <v>0</v>
      </c>
      <c r="H48" s="10" t="n">
        <f aca="false">IF(AND(ISNUMBER(G48),ISNUMBER(C48),C48&lt;&gt;0),G48/C48,"")</f>
        <v>0</v>
      </c>
      <c r="I48" s="8" t="n">
        <v>5.5</v>
      </c>
      <c r="J48" s="10" t="n">
        <f aca="false">IF(AND(ISNUMBER(F48),ISNUMBER(I48),F48&lt;&gt;0),1-(I48/F48),"")</f>
        <v>0.710526315789474</v>
      </c>
    </row>
    <row r="49" customFormat="false" ht="15" hidden="false" customHeight="false" outlineLevel="0" collapsed="false">
      <c r="A49" s="3" t="s">
        <v>78</v>
      </c>
      <c r="B49" s="3" t="s">
        <v>83</v>
      </c>
      <c r="C49" s="4" t="n">
        <v>16</v>
      </c>
      <c r="D49" s="3" t="s">
        <v>13</v>
      </c>
      <c r="E49" s="3" t="s">
        <v>13</v>
      </c>
      <c r="F49" s="4" t="n">
        <v>16</v>
      </c>
      <c r="G49" s="5" t="n">
        <f aca="false">IF(AND(ISNUMBER(F49),ISNUMBER(C49)),F49-C49,"")</f>
        <v>0</v>
      </c>
      <c r="H49" s="6" t="n">
        <f aca="false">IF(AND(ISNUMBER(G49),ISNUMBER(C49),C49&lt;&gt;0),G49/C49,"")</f>
        <v>0</v>
      </c>
      <c r="I49" s="4" t="n">
        <v>4.25</v>
      </c>
      <c r="J49" s="6" t="n">
        <f aca="false">IF(AND(ISNUMBER(F49),ISNUMBER(I49),F49&lt;&gt;0),1-(I49/F49),"")</f>
        <v>0.734375</v>
      </c>
    </row>
    <row r="50" customFormat="false" ht="15" hidden="false" customHeight="false" outlineLevel="0" collapsed="false">
      <c r="A50" s="7" t="s">
        <v>78</v>
      </c>
      <c r="B50" s="7" t="s">
        <v>84</v>
      </c>
      <c r="C50" s="8" t="n">
        <v>14</v>
      </c>
      <c r="D50" s="7" t="s">
        <v>13</v>
      </c>
      <c r="E50" s="7" t="s">
        <v>13</v>
      </c>
      <c r="F50" s="8" t="n">
        <v>15</v>
      </c>
      <c r="G50" s="9" t="n">
        <f aca="false">IF(AND(ISNUMBER(F50),ISNUMBER(C50)),F50-C50,"")</f>
        <v>1</v>
      </c>
      <c r="H50" s="10" t="n">
        <f aca="false">IF(AND(ISNUMBER(G50),ISNUMBER(C50),C50&lt;&gt;0),G50/C50,"")</f>
        <v>0.0714285714285714</v>
      </c>
      <c r="I50" s="8" t="n">
        <v>3.5</v>
      </c>
      <c r="J50" s="10" t="n">
        <f aca="false">IF(AND(ISNUMBER(F50),ISNUMBER(I50),F50&lt;&gt;0),1-(I50/F50),"")</f>
        <v>0.766666666666667</v>
      </c>
    </row>
    <row r="51" customFormat="false" ht="15" hidden="false" customHeight="false" outlineLevel="0" collapsed="false">
      <c r="A51" s="3" t="s">
        <v>78</v>
      </c>
      <c r="B51" s="3" t="s">
        <v>85</v>
      </c>
      <c r="C51" s="4" t="n">
        <v>16</v>
      </c>
      <c r="D51" s="3" t="s">
        <v>13</v>
      </c>
      <c r="E51" s="3" t="s">
        <v>13</v>
      </c>
      <c r="F51" s="4" t="n">
        <v>17</v>
      </c>
      <c r="G51" s="5" t="n">
        <f aca="false">IF(AND(ISNUMBER(F51),ISNUMBER(C51)),F51-C51,"")</f>
        <v>1</v>
      </c>
      <c r="H51" s="6" t="n">
        <f aca="false">IF(AND(ISNUMBER(G51),ISNUMBER(C51),C51&lt;&gt;0),G51/C51,"")</f>
        <v>0.0625</v>
      </c>
      <c r="I51" s="4" t="n">
        <v>4.5</v>
      </c>
      <c r="J51" s="6" t="n">
        <f aca="false">IF(AND(ISNUMBER(F51),ISNUMBER(I51),F51&lt;&gt;0),1-(I51/F51),"")</f>
        <v>0.735294117647059</v>
      </c>
    </row>
    <row r="52" customFormat="false" ht="15" hidden="false" customHeight="false" outlineLevel="0" collapsed="false">
      <c r="A52" s="7" t="s">
        <v>78</v>
      </c>
      <c r="B52" s="7" t="s">
        <v>86</v>
      </c>
      <c r="C52" s="8" t="n">
        <v>14</v>
      </c>
      <c r="D52" s="7" t="s">
        <v>13</v>
      </c>
      <c r="E52" s="7" t="s">
        <v>13</v>
      </c>
      <c r="F52" s="8" t="n">
        <v>15</v>
      </c>
      <c r="G52" s="9" t="n">
        <f aca="false">IF(AND(ISNUMBER(F52),ISNUMBER(C52)),F52-C52,"")</f>
        <v>1</v>
      </c>
      <c r="H52" s="10" t="n">
        <f aca="false">IF(AND(ISNUMBER(G52),ISNUMBER(C52),C52&lt;&gt;0),G52/C52,"")</f>
        <v>0.0714285714285714</v>
      </c>
      <c r="I52" s="8" t="n">
        <v>2.75</v>
      </c>
      <c r="J52" s="10" t="n">
        <f aca="false">IF(AND(ISNUMBER(F52),ISNUMBER(I52),F52&lt;&gt;0),1-(I52/F52),"")</f>
        <v>0.816666666666667</v>
      </c>
    </row>
    <row r="53" customFormat="false" ht="15" hidden="false" customHeight="false" outlineLevel="0" collapsed="false">
      <c r="A53" s="3" t="s">
        <v>78</v>
      </c>
      <c r="B53" s="3" t="s">
        <v>87</v>
      </c>
      <c r="C53" s="4" t="n">
        <v>15</v>
      </c>
      <c r="D53" s="3" t="s">
        <v>13</v>
      </c>
      <c r="E53" s="3" t="s">
        <v>88</v>
      </c>
      <c r="F53" s="4" t="n">
        <v>16</v>
      </c>
      <c r="G53" s="5" t="n">
        <f aca="false">IF(AND(ISNUMBER(F53),ISNUMBER(C53)),F53-C53,"")</f>
        <v>1</v>
      </c>
      <c r="H53" s="6" t="n">
        <f aca="false">IF(AND(ISNUMBER(G53),ISNUMBER(C53),C53&lt;&gt;0),G53/C53,"")</f>
        <v>0.0666666666666667</v>
      </c>
      <c r="I53" s="4" t="n">
        <v>4</v>
      </c>
      <c r="J53" s="6" t="n">
        <f aca="false">IF(AND(ISNUMBER(F53),ISNUMBER(I53),F53&lt;&gt;0),1-(I53/F53),"")</f>
        <v>0.75</v>
      </c>
    </row>
    <row r="54" customFormat="false" ht="15" hidden="false" customHeight="false" outlineLevel="0" collapsed="false">
      <c r="A54" s="7" t="s">
        <v>78</v>
      </c>
      <c r="B54" s="7" t="s">
        <v>89</v>
      </c>
      <c r="C54" s="8" t="n">
        <v>15</v>
      </c>
      <c r="D54" s="7" t="s">
        <v>13</v>
      </c>
      <c r="E54" s="7" t="s">
        <v>13</v>
      </c>
      <c r="F54" s="8" t="n">
        <v>16</v>
      </c>
      <c r="G54" s="9" t="n">
        <f aca="false">IF(AND(ISNUMBER(F54),ISNUMBER(C54)),F54-C54,"")</f>
        <v>1</v>
      </c>
      <c r="H54" s="10" t="n">
        <f aca="false">IF(AND(ISNUMBER(G54),ISNUMBER(C54),C54&lt;&gt;0),G54/C54,"")</f>
        <v>0.0666666666666667</v>
      </c>
      <c r="I54" s="8" t="n">
        <v>4.25</v>
      </c>
      <c r="J54" s="10" t="n">
        <f aca="false">IF(AND(ISNUMBER(F54),ISNUMBER(I54),F54&lt;&gt;0),1-(I54/F54),"")</f>
        <v>0.734375</v>
      </c>
    </row>
    <row r="55" customFormat="false" ht="15" hidden="false" customHeight="false" outlineLevel="0" collapsed="false">
      <c r="A55" s="3" t="s">
        <v>78</v>
      </c>
      <c r="B55" s="3" t="s">
        <v>90</v>
      </c>
      <c r="C55" s="4" t="n">
        <v>16</v>
      </c>
      <c r="D55" s="3" t="s">
        <v>13</v>
      </c>
      <c r="E55" s="3" t="s">
        <v>13</v>
      </c>
      <c r="F55" s="4" t="n">
        <v>17</v>
      </c>
      <c r="G55" s="5" t="n">
        <f aca="false">IF(AND(ISNUMBER(F55),ISNUMBER(C55)),F55-C55,"")</f>
        <v>1</v>
      </c>
      <c r="H55" s="6" t="n">
        <f aca="false">IF(AND(ISNUMBER(G55),ISNUMBER(C55),C55&lt;&gt;0),G55/C55,"")</f>
        <v>0.0625</v>
      </c>
      <c r="I55" s="4" t="n">
        <v>4.5</v>
      </c>
      <c r="J55" s="6" t="n">
        <f aca="false">IF(AND(ISNUMBER(F55),ISNUMBER(I55),F55&lt;&gt;0),1-(I55/F55),"")</f>
        <v>0.735294117647059</v>
      </c>
    </row>
    <row r="56" customFormat="false" ht="15" hidden="false" customHeight="false" outlineLevel="0" collapsed="false">
      <c r="A56" s="7" t="s">
        <v>78</v>
      </c>
      <c r="B56" s="7" t="s">
        <v>91</v>
      </c>
      <c r="C56" s="8" t="n">
        <v>17</v>
      </c>
      <c r="D56" s="7" t="s">
        <v>13</v>
      </c>
      <c r="E56" s="7" t="s">
        <v>13</v>
      </c>
      <c r="F56" s="8" t="n">
        <v>18</v>
      </c>
      <c r="G56" s="9" t="n">
        <f aca="false">IF(AND(ISNUMBER(F56),ISNUMBER(C56)),F56-C56,"")</f>
        <v>1</v>
      </c>
      <c r="H56" s="10" t="n">
        <f aca="false">IF(AND(ISNUMBER(G56),ISNUMBER(C56),C56&lt;&gt;0),G56/C56,"")</f>
        <v>0.0588235294117647</v>
      </c>
      <c r="I56" s="8" t="n">
        <v>4.75</v>
      </c>
      <c r="J56" s="10" t="n">
        <f aca="false">IF(AND(ISNUMBER(F56),ISNUMBER(I56),F56&lt;&gt;0),1-(I56/F56),"")</f>
        <v>0.736111111111111</v>
      </c>
    </row>
    <row r="57" customFormat="false" ht="15" hidden="false" customHeight="false" outlineLevel="0" collapsed="false">
      <c r="A57" s="3" t="s">
        <v>78</v>
      </c>
      <c r="B57" s="3" t="s">
        <v>92</v>
      </c>
      <c r="C57" s="4" t="n">
        <v>18</v>
      </c>
      <c r="D57" s="3" t="s">
        <v>13</v>
      </c>
      <c r="E57" s="3" t="s">
        <v>13</v>
      </c>
      <c r="F57" s="4" t="n">
        <v>19</v>
      </c>
      <c r="G57" s="5" t="n">
        <f aca="false">IF(AND(ISNUMBER(F57),ISNUMBER(C57)),F57-C57,"")</f>
        <v>1</v>
      </c>
      <c r="H57" s="6" t="n">
        <f aca="false">IF(AND(ISNUMBER(G57),ISNUMBER(C57),C57&lt;&gt;0),G57/C57,"")</f>
        <v>0.0555555555555556</v>
      </c>
      <c r="I57" s="4" t="n">
        <v>5.5</v>
      </c>
      <c r="J57" s="6" t="n">
        <f aca="false">IF(AND(ISNUMBER(F57),ISNUMBER(I57),F57&lt;&gt;0),1-(I57/F57),"")</f>
        <v>0.710526315789474</v>
      </c>
    </row>
    <row r="58" customFormat="false" ht="15" hidden="false" customHeight="false" outlineLevel="0" collapsed="false">
      <c r="A58" s="7" t="s">
        <v>78</v>
      </c>
      <c r="B58" s="7" t="s">
        <v>93</v>
      </c>
      <c r="C58" s="8" t="n">
        <v>18</v>
      </c>
      <c r="D58" s="7" t="s">
        <v>13</v>
      </c>
      <c r="E58" s="7" t="s">
        <v>13</v>
      </c>
      <c r="F58" s="8" t="n">
        <v>19</v>
      </c>
      <c r="G58" s="9" t="n">
        <f aca="false">IF(AND(ISNUMBER(F58),ISNUMBER(C58)),F58-C58,"")</f>
        <v>1</v>
      </c>
      <c r="H58" s="10" t="n">
        <f aca="false">IF(AND(ISNUMBER(G58),ISNUMBER(C58),C58&lt;&gt;0),G58/C58,"")</f>
        <v>0.0555555555555556</v>
      </c>
      <c r="I58" s="8" t="n">
        <v>5.75</v>
      </c>
      <c r="J58" s="10" t="n">
        <f aca="false">IF(AND(ISNUMBER(F58),ISNUMBER(I58),F58&lt;&gt;0),1-(I58/F58),"")</f>
        <v>0.697368421052632</v>
      </c>
    </row>
    <row r="59" customFormat="false" ht="15" hidden="false" customHeight="false" outlineLevel="0" collapsed="false">
      <c r="A59" s="3" t="s">
        <v>94</v>
      </c>
      <c r="B59" s="3" t="s">
        <v>95</v>
      </c>
      <c r="C59" s="4" t="n">
        <v>1</v>
      </c>
      <c r="D59" s="3" t="s">
        <v>13</v>
      </c>
      <c r="E59" s="3" t="s">
        <v>13</v>
      </c>
      <c r="F59" s="4" t="n">
        <v>4</v>
      </c>
      <c r="G59" s="5" t="n">
        <f aca="false">IF(AND(ISNUMBER(F59),ISNUMBER(C59)),F59-C59,"")</f>
        <v>3</v>
      </c>
      <c r="H59" s="6" t="n">
        <f aca="false">IF(AND(ISNUMBER(G59),ISNUMBER(C59),C59&lt;&gt;0),G59/C59,"")</f>
        <v>3</v>
      </c>
      <c r="I59" s="4" t="n">
        <v>1.5</v>
      </c>
      <c r="J59" s="6" t="n">
        <f aca="false">IF(AND(ISNUMBER(F59),ISNUMBER(I59),F59&lt;&gt;0),1-(I59/F59),"")</f>
        <v>0.625</v>
      </c>
    </row>
    <row r="60" customFormat="false" ht="15" hidden="false" customHeight="false" outlineLevel="0" collapsed="false">
      <c r="A60" s="7" t="s">
        <v>94</v>
      </c>
      <c r="B60" s="7" t="s">
        <v>96</v>
      </c>
      <c r="C60" s="8" t="n">
        <v>2</v>
      </c>
      <c r="D60" s="7" t="s">
        <v>13</v>
      </c>
      <c r="E60" s="7" t="s">
        <v>13</v>
      </c>
      <c r="F60" s="8" t="n">
        <v>3</v>
      </c>
      <c r="G60" s="9" t="n">
        <f aca="false">IF(AND(ISNUMBER(F60),ISNUMBER(C60)),F60-C60,"")</f>
        <v>1</v>
      </c>
      <c r="H60" s="10" t="n">
        <f aca="false">IF(AND(ISNUMBER(G60),ISNUMBER(C60),C60&lt;&gt;0),G60/C60,"")</f>
        <v>0.5</v>
      </c>
      <c r="I60" s="8" t="n">
        <v>0.5</v>
      </c>
      <c r="J60" s="10" t="n">
        <f aca="false">IF(AND(ISNUMBER(F60),ISNUMBER(I60),F60&lt;&gt;0),1-(I60/F60),"")</f>
        <v>0.833333333333333</v>
      </c>
    </row>
    <row r="61" customFormat="false" ht="15" hidden="false" customHeight="false" outlineLevel="0" collapsed="false">
      <c r="A61" s="3" t="s">
        <v>94</v>
      </c>
      <c r="B61" s="3" t="s">
        <v>97</v>
      </c>
      <c r="C61" s="4" t="n">
        <v>3</v>
      </c>
      <c r="D61" s="3" t="s">
        <v>13</v>
      </c>
      <c r="E61" s="3" t="s">
        <v>13</v>
      </c>
      <c r="F61" s="4" t="n">
        <v>4</v>
      </c>
      <c r="G61" s="5" t="n">
        <f aca="false">IF(AND(ISNUMBER(F61),ISNUMBER(C61)),F61-C61,"")</f>
        <v>1</v>
      </c>
      <c r="H61" s="6" t="n">
        <f aca="false">IF(AND(ISNUMBER(G61),ISNUMBER(C61),C61&lt;&gt;0),G61/C61,"")</f>
        <v>0.333333333333333</v>
      </c>
      <c r="I61" s="4" t="n">
        <v>0.75</v>
      </c>
      <c r="J61" s="6" t="n">
        <f aca="false">IF(AND(ISNUMBER(F61),ISNUMBER(I61),F61&lt;&gt;0),1-(I61/F61),"")</f>
        <v>0.8125</v>
      </c>
    </row>
    <row r="62" customFormat="false" ht="15" hidden="false" customHeight="false" outlineLevel="0" collapsed="false">
      <c r="A62" s="7" t="s">
        <v>94</v>
      </c>
      <c r="B62" s="7" t="s">
        <v>98</v>
      </c>
      <c r="C62" s="8" t="n">
        <v>4</v>
      </c>
      <c r="D62" s="7" t="s">
        <v>13</v>
      </c>
      <c r="E62" s="7" t="s">
        <v>13</v>
      </c>
      <c r="F62" s="8" t="n">
        <v>5</v>
      </c>
      <c r="G62" s="9" t="n">
        <f aca="false">IF(AND(ISNUMBER(F62),ISNUMBER(C62)),F62-C62,"")</f>
        <v>1</v>
      </c>
      <c r="H62" s="10" t="n">
        <f aca="false">IF(AND(ISNUMBER(G62),ISNUMBER(C62),C62&lt;&gt;0),G62/C62,"")</f>
        <v>0.25</v>
      </c>
      <c r="I62" s="8" t="n">
        <v>1</v>
      </c>
      <c r="J62" s="10" t="n">
        <f aca="false">IF(AND(ISNUMBER(F62),ISNUMBER(I62),F62&lt;&gt;0),1-(I62/F62),"")</f>
        <v>0.8</v>
      </c>
    </row>
    <row r="63" customFormat="false" ht="15" hidden="false" customHeight="false" outlineLevel="0" collapsed="false">
      <c r="A63" s="3" t="s">
        <v>94</v>
      </c>
      <c r="B63" s="3" t="s">
        <v>99</v>
      </c>
      <c r="C63" s="4" t="n">
        <v>3</v>
      </c>
      <c r="D63" s="3" t="s">
        <v>13</v>
      </c>
      <c r="E63" s="3" t="s">
        <v>13</v>
      </c>
      <c r="F63" s="4" t="n">
        <v>4</v>
      </c>
      <c r="G63" s="5" t="n">
        <f aca="false">IF(AND(ISNUMBER(F63),ISNUMBER(C63)),F63-C63,"")</f>
        <v>1</v>
      </c>
      <c r="H63" s="6" t="n">
        <f aca="false">IF(AND(ISNUMBER(G63),ISNUMBER(C63),C63&lt;&gt;0),G63/C63,"")</f>
        <v>0.333333333333333</v>
      </c>
      <c r="I63" s="4" t="n">
        <v>1.25</v>
      </c>
      <c r="J63" s="6" t="n">
        <f aca="false">IF(AND(ISNUMBER(F63),ISNUMBER(I63),F63&lt;&gt;0),1-(I63/F63),"")</f>
        <v>0.6875</v>
      </c>
    </row>
    <row r="64" customFormat="false" ht="15" hidden="false" customHeight="false" outlineLevel="0" collapsed="false">
      <c r="A64" s="7" t="s">
        <v>94</v>
      </c>
      <c r="B64" s="7" t="s">
        <v>100</v>
      </c>
      <c r="C64" s="8" t="n">
        <v>4</v>
      </c>
      <c r="D64" s="7" t="s">
        <v>13</v>
      </c>
      <c r="E64" s="7" t="s">
        <v>13</v>
      </c>
      <c r="F64" s="8" t="n">
        <v>5</v>
      </c>
      <c r="G64" s="9" t="n">
        <f aca="false">IF(AND(ISNUMBER(F64),ISNUMBER(C64)),F64-C64,"")</f>
        <v>1</v>
      </c>
      <c r="H64" s="10" t="n">
        <f aca="false">IF(AND(ISNUMBER(G64),ISNUMBER(C64),C64&lt;&gt;0),G64/C64,"")</f>
        <v>0.25</v>
      </c>
      <c r="I64" s="8" t="n">
        <v>1.5</v>
      </c>
      <c r="J64" s="10" t="n">
        <f aca="false">IF(AND(ISNUMBER(F64),ISNUMBER(I64),F64&lt;&gt;0),1-(I64/F64),"")</f>
        <v>0.7</v>
      </c>
    </row>
    <row r="65" customFormat="false" ht="15" hidden="false" customHeight="false" outlineLevel="0" collapsed="false">
      <c r="A65" s="3" t="s">
        <v>94</v>
      </c>
      <c r="B65" s="3" t="s">
        <v>101</v>
      </c>
      <c r="C65" s="4" t="n">
        <v>5</v>
      </c>
      <c r="D65" s="3" t="s">
        <v>13</v>
      </c>
      <c r="E65" s="3" t="s">
        <v>13</v>
      </c>
      <c r="F65" s="4" t="n">
        <v>6</v>
      </c>
      <c r="G65" s="5" t="n">
        <f aca="false">IF(AND(ISNUMBER(F65),ISNUMBER(C65)),F65-C65,"")</f>
        <v>1</v>
      </c>
      <c r="H65" s="6" t="n">
        <f aca="false">IF(AND(ISNUMBER(G65),ISNUMBER(C65),C65&lt;&gt;0),G65/C65,"")</f>
        <v>0.2</v>
      </c>
      <c r="I65" s="4" t="n">
        <v>2</v>
      </c>
      <c r="J65" s="6" t="n">
        <f aca="false">IF(AND(ISNUMBER(F65),ISNUMBER(I65),F65&lt;&gt;0),1-(I65/F65),"")</f>
        <v>0.666666666666667</v>
      </c>
    </row>
    <row r="66" customFormat="false" ht="15" hidden="false" customHeight="false" outlineLevel="0" collapsed="false">
      <c r="A66" s="7" t="s">
        <v>94</v>
      </c>
      <c r="B66" s="7" t="s">
        <v>102</v>
      </c>
      <c r="C66" s="8" t="n">
        <v>6</v>
      </c>
      <c r="D66" s="7" t="s">
        <v>13</v>
      </c>
      <c r="E66" s="7" t="s">
        <v>13</v>
      </c>
      <c r="F66" s="8" t="n">
        <v>7</v>
      </c>
      <c r="G66" s="9" t="n">
        <f aca="false">IF(AND(ISNUMBER(F66),ISNUMBER(C66)),F66-C66,"")</f>
        <v>1</v>
      </c>
      <c r="H66" s="10" t="n">
        <f aca="false">IF(AND(ISNUMBER(G66),ISNUMBER(C66),C66&lt;&gt;0),G66/C66,"")</f>
        <v>0.166666666666667</v>
      </c>
      <c r="I66" s="8" t="n">
        <v>2.5</v>
      </c>
      <c r="J66" s="10" t="n">
        <f aca="false">IF(AND(ISNUMBER(F66),ISNUMBER(I66),F66&lt;&gt;0),1-(I66/F66),"")</f>
        <v>0.642857142857143</v>
      </c>
    </row>
    <row r="67" customFormat="false" ht="15" hidden="false" customHeight="false" outlineLevel="0" collapsed="false">
      <c r="A67" s="3" t="s">
        <v>94</v>
      </c>
      <c r="B67" s="3" t="s">
        <v>103</v>
      </c>
      <c r="C67" s="4" t="n">
        <v>7</v>
      </c>
      <c r="D67" s="3" t="s">
        <v>13</v>
      </c>
      <c r="E67" s="3" t="s">
        <v>13</v>
      </c>
      <c r="F67" s="4" t="n">
        <v>8</v>
      </c>
      <c r="G67" s="5" t="n">
        <f aca="false">IF(AND(ISNUMBER(F67),ISNUMBER(C67)),F67-C67,"")</f>
        <v>1</v>
      </c>
      <c r="H67" s="6" t="n">
        <f aca="false">IF(AND(ISNUMBER(G67),ISNUMBER(C67),C67&lt;&gt;0),G67/C67,"")</f>
        <v>0.142857142857143</v>
      </c>
      <c r="I67" s="4" t="n">
        <v>2.25</v>
      </c>
      <c r="J67" s="6" t="n">
        <f aca="false">IF(AND(ISNUMBER(F67),ISNUMBER(I67),F67&lt;&gt;0),1-(I67/F67),"")</f>
        <v>0.71875</v>
      </c>
    </row>
    <row r="68" customFormat="false" ht="15" hidden="false" customHeight="false" outlineLevel="0" collapsed="false">
      <c r="A68" s="2" t="s">
        <v>104</v>
      </c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" hidden="false" customHeight="false" outlineLevel="0" collapsed="false">
      <c r="A69" s="3" t="s">
        <v>105</v>
      </c>
      <c r="B69" s="3" t="s">
        <v>106</v>
      </c>
      <c r="C69" s="4" t="n">
        <v>14</v>
      </c>
      <c r="D69" s="3" t="s">
        <v>13</v>
      </c>
      <c r="E69" s="3" t="s">
        <v>13</v>
      </c>
      <c r="F69" s="4" t="n">
        <v>12</v>
      </c>
      <c r="G69" s="5" t="n">
        <f aca="false">IF(AND(ISNUMBER(F69),ISNUMBER(C69)),F69-C69,"")</f>
        <v>-2</v>
      </c>
      <c r="H69" s="6" t="n">
        <f aca="false">IF(AND(ISNUMBER(G69),ISNUMBER(C69),C69&lt;&gt;0),G69/C69,"")</f>
        <v>-0.142857142857143</v>
      </c>
      <c r="I69" s="4" t="n">
        <v>3.5</v>
      </c>
      <c r="J69" s="6" t="n">
        <f aca="false">IF(AND(ISNUMBER(F69),ISNUMBER(I69),F69&lt;&gt;0),1-(I69/F69),"")</f>
        <v>0.708333333333333</v>
      </c>
    </row>
    <row r="70" customFormat="false" ht="15" hidden="false" customHeight="false" outlineLevel="0" collapsed="false">
      <c r="A70" s="7" t="s">
        <v>105</v>
      </c>
      <c r="B70" s="7" t="s">
        <v>107</v>
      </c>
      <c r="C70" s="8" t="n">
        <v>14</v>
      </c>
      <c r="D70" s="7" t="s">
        <v>13</v>
      </c>
      <c r="E70" s="7" t="s">
        <v>13</v>
      </c>
      <c r="F70" s="8" t="n">
        <v>14</v>
      </c>
      <c r="G70" s="9" t="n">
        <f aca="false">IF(AND(ISNUMBER(F70),ISNUMBER(C70)),F70-C70,"")</f>
        <v>0</v>
      </c>
      <c r="H70" s="10" t="n">
        <f aca="false">IF(AND(ISNUMBER(G70),ISNUMBER(C70),C70&lt;&gt;0),G70/C70,"")</f>
        <v>0</v>
      </c>
      <c r="I70" s="8" t="n">
        <v>3.5</v>
      </c>
      <c r="J70" s="10" t="n">
        <f aca="false">IF(AND(ISNUMBER(F70),ISNUMBER(I70),F70&lt;&gt;0),1-(I70/F70),"")</f>
        <v>0.75</v>
      </c>
    </row>
    <row r="71" customFormat="false" ht="15" hidden="false" customHeight="false" outlineLevel="0" collapsed="false">
      <c r="A71" s="3" t="s">
        <v>105</v>
      </c>
      <c r="B71" s="3" t="s">
        <v>108</v>
      </c>
      <c r="C71" s="4" t="n">
        <v>12</v>
      </c>
      <c r="D71" s="3" t="s">
        <v>13</v>
      </c>
      <c r="E71" s="3" t="s">
        <v>13</v>
      </c>
      <c r="F71" s="4" t="n">
        <v>12</v>
      </c>
      <c r="G71" s="5" t="n">
        <f aca="false">IF(AND(ISNUMBER(F71),ISNUMBER(C71)),F71-C71,"")</f>
        <v>0</v>
      </c>
      <c r="H71" s="6" t="n">
        <f aca="false">IF(AND(ISNUMBER(G71),ISNUMBER(C71),C71&lt;&gt;0),G71/C71,"")</f>
        <v>0</v>
      </c>
      <c r="I71" s="4" t="n">
        <v>3</v>
      </c>
      <c r="J71" s="6" t="n">
        <f aca="false">IF(AND(ISNUMBER(F71),ISNUMBER(I71),F71&lt;&gt;0),1-(I71/F71),"")</f>
        <v>0.75</v>
      </c>
    </row>
    <row r="72" customFormat="false" ht="15" hidden="false" customHeight="false" outlineLevel="0" collapsed="false">
      <c r="A72" s="7" t="s">
        <v>105</v>
      </c>
      <c r="B72" s="7" t="s">
        <v>109</v>
      </c>
      <c r="C72" s="8" t="n">
        <v>10</v>
      </c>
      <c r="D72" s="7" t="s">
        <v>13</v>
      </c>
      <c r="E72" s="7" t="s">
        <v>13</v>
      </c>
      <c r="F72" s="8" t="n">
        <v>9</v>
      </c>
      <c r="G72" s="9" t="n">
        <f aca="false">IF(AND(ISNUMBER(F72),ISNUMBER(C72)),F72-C72,"")</f>
        <v>-1</v>
      </c>
      <c r="H72" s="10" t="n">
        <f aca="false">IF(AND(ISNUMBER(G72),ISNUMBER(C72),C72&lt;&gt;0),G72/C72,"")</f>
        <v>-0.1</v>
      </c>
      <c r="I72" s="8" t="n">
        <v>2.25</v>
      </c>
      <c r="J72" s="10" t="n">
        <f aca="false">IF(AND(ISNUMBER(F72),ISNUMBER(I72),F72&lt;&gt;0),1-(I72/F72),"")</f>
        <v>0.75</v>
      </c>
    </row>
    <row r="73" customFormat="false" ht="15" hidden="false" customHeight="false" outlineLevel="0" collapsed="false">
      <c r="A73" s="3" t="s">
        <v>105</v>
      </c>
      <c r="B73" s="3" t="s">
        <v>110</v>
      </c>
      <c r="C73" s="4" t="n">
        <v>6</v>
      </c>
      <c r="D73" s="3" t="s">
        <v>13</v>
      </c>
      <c r="E73" s="3" t="s">
        <v>13</v>
      </c>
      <c r="F73" s="4" t="n">
        <v>7</v>
      </c>
      <c r="G73" s="5" t="n">
        <f aca="false">IF(AND(ISNUMBER(F73),ISNUMBER(C73)),F73-C73,"")</f>
        <v>1</v>
      </c>
      <c r="H73" s="6" t="n">
        <f aca="false">IF(AND(ISNUMBER(G73),ISNUMBER(C73),C73&lt;&gt;0),G73/C73,"")</f>
        <v>0.166666666666667</v>
      </c>
      <c r="I73" s="4" t="n">
        <v>1.75</v>
      </c>
      <c r="J73" s="6" t="n">
        <f aca="false">IF(AND(ISNUMBER(F73),ISNUMBER(I73),F73&lt;&gt;0),1-(I73/F73),"")</f>
        <v>0.75</v>
      </c>
    </row>
    <row r="74" customFormat="false" ht="15" hidden="false" customHeight="false" outlineLevel="0" collapsed="false">
      <c r="A74" s="7" t="s">
        <v>105</v>
      </c>
      <c r="B74" s="7" t="s">
        <v>111</v>
      </c>
      <c r="C74" s="8" t="n">
        <v>3</v>
      </c>
      <c r="D74" s="7" t="s">
        <v>13</v>
      </c>
      <c r="E74" s="7" t="s">
        <v>13</v>
      </c>
      <c r="F74" s="8" t="n">
        <v>4</v>
      </c>
      <c r="G74" s="9" t="n">
        <f aca="false">IF(AND(ISNUMBER(F74),ISNUMBER(C74)),F74-C74,"")</f>
        <v>1</v>
      </c>
      <c r="H74" s="10" t="n">
        <f aca="false">IF(AND(ISNUMBER(G74),ISNUMBER(C74),C74&lt;&gt;0),G74/C74,"")</f>
        <v>0.333333333333333</v>
      </c>
      <c r="I74" s="8" t="n">
        <v>0.75</v>
      </c>
      <c r="J74" s="10" t="n">
        <f aca="false">IF(AND(ISNUMBER(F74),ISNUMBER(I74),F74&lt;&gt;0),1-(I74/F74),"")</f>
        <v>0.8125</v>
      </c>
    </row>
    <row r="75" customFormat="false" ht="15" hidden="false" customHeight="false" outlineLevel="0" collapsed="false">
      <c r="A75" s="3" t="s">
        <v>105</v>
      </c>
      <c r="B75" s="3" t="s">
        <v>112</v>
      </c>
      <c r="C75" s="4" t="n">
        <v>2</v>
      </c>
      <c r="D75" s="3" t="s">
        <v>13</v>
      </c>
      <c r="E75" s="3" t="s">
        <v>13</v>
      </c>
      <c r="F75" s="4" t="n">
        <v>4</v>
      </c>
      <c r="G75" s="5" t="n">
        <f aca="false">IF(AND(ISNUMBER(F75),ISNUMBER(C75)),F75-C75,"")</f>
        <v>2</v>
      </c>
      <c r="H75" s="6" t="n">
        <f aca="false">IF(AND(ISNUMBER(G75),ISNUMBER(C75),C75&lt;&gt;0),G75/C75,"")</f>
        <v>1</v>
      </c>
      <c r="I75" s="4" t="n">
        <v>0.6</v>
      </c>
      <c r="J75" s="6" t="n">
        <f aca="false">IF(AND(ISNUMBER(F75),ISNUMBER(I75),F75&lt;&gt;0),1-(I75/F75),"")</f>
        <v>0.85</v>
      </c>
    </row>
    <row r="76" customFormat="false" ht="15" hidden="false" customHeight="false" outlineLevel="0" collapsed="false">
      <c r="A76" s="2" t="s">
        <v>113</v>
      </c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" hidden="false" customHeight="false" outlineLevel="0" collapsed="false">
      <c r="A77" s="3" t="s">
        <v>114</v>
      </c>
      <c r="B77" s="3" t="s">
        <v>115</v>
      </c>
      <c r="C77" s="4" t="n">
        <v>6</v>
      </c>
      <c r="D77" s="3" t="s">
        <v>13</v>
      </c>
      <c r="E77" s="3" t="s">
        <v>13</v>
      </c>
      <c r="F77" s="4" t="n">
        <v>7</v>
      </c>
      <c r="G77" s="5" t="n">
        <f aca="false">IF(AND(ISNUMBER(F77),ISNUMBER(C77)),F77-C77,"")</f>
        <v>1</v>
      </c>
      <c r="H77" s="6" t="n">
        <f aca="false">IF(AND(ISNUMBER(G77),ISNUMBER(C77),C77&lt;&gt;0),G77/C77,"")</f>
        <v>0.166666666666667</v>
      </c>
      <c r="I77" s="4" t="n">
        <v>1.5</v>
      </c>
      <c r="J77" s="6" t="n">
        <f aca="false">IF(AND(ISNUMBER(F77),ISNUMBER(I77),F77&lt;&gt;0),1-(I77/F77),"")</f>
        <v>0.785714285714286</v>
      </c>
    </row>
    <row r="78" customFormat="false" ht="15" hidden="false" customHeight="false" outlineLevel="0" collapsed="false">
      <c r="A78" s="7" t="s">
        <v>114</v>
      </c>
      <c r="B78" s="7" t="s">
        <v>116</v>
      </c>
      <c r="C78" s="8" t="n">
        <v>7</v>
      </c>
      <c r="D78" s="7" t="s">
        <v>13</v>
      </c>
      <c r="E78" s="7" t="s">
        <v>13</v>
      </c>
      <c r="F78" s="8" t="n">
        <v>7</v>
      </c>
      <c r="G78" s="9" t="n">
        <f aca="false">IF(AND(ISNUMBER(F78),ISNUMBER(C78)),F78-C78,"")</f>
        <v>0</v>
      </c>
      <c r="H78" s="10" t="n">
        <f aca="false">IF(AND(ISNUMBER(G78),ISNUMBER(C78),C78&lt;&gt;0),G78/C78,"")</f>
        <v>0</v>
      </c>
      <c r="I78" s="8" t="n">
        <v>1.75</v>
      </c>
      <c r="J78" s="10" t="n">
        <f aca="false">IF(AND(ISNUMBER(F78),ISNUMBER(I78),F78&lt;&gt;0),1-(I78/F78),"")</f>
        <v>0.75</v>
      </c>
    </row>
    <row r="79" customFormat="false" ht="15" hidden="false" customHeight="false" outlineLevel="0" collapsed="false">
      <c r="A79" s="3" t="s">
        <v>114</v>
      </c>
      <c r="B79" s="3" t="s">
        <v>117</v>
      </c>
      <c r="C79" s="4" t="n">
        <v>7</v>
      </c>
      <c r="D79" s="3" t="s">
        <v>13</v>
      </c>
      <c r="E79" s="3" t="s">
        <v>13</v>
      </c>
      <c r="F79" s="4" t="n">
        <v>7</v>
      </c>
      <c r="G79" s="5" t="n">
        <f aca="false">IF(AND(ISNUMBER(F79),ISNUMBER(C79)),F79-C79,"")</f>
        <v>0</v>
      </c>
      <c r="H79" s="6" t="n">
        <f aca="false">IF(AND(ISNUMBER(G79),ISNUMBER(C79),C79&lt;&gt;0),G79/C79,"")</f>
        <v>0</v>
      </c>
      <c r="I79" s="4" t="n">
        <v>1.5</v>
      </c>
      <c r="J79" s="6" t="n">
        <f aca="false">IF(AND(ISNUMBER(F79),ISNUMBER(I79),F79&lt;&gt;0),1-(I79/F79),"")</f>
        <v>0.785714285714286</v>
      </c>
    </row>
    <row r="80" customFormat="false" ht="15" hidden="false" customHeight="false" outlineLevel="0" collapsed="false">
      <c r="A80" s="7" t="s">
        <v>114</v>
      </c>
      <c r="B80" s="7" t="s">
        <v>118</v>
      </c>
      <c r="C80" s="8" t="n">
        <v>6</v>
      </c>
      <c r="D80" s="7" t="s">
        <v>13</v>
      </c>
      <c r="E80" s="7" t="s">
        <v>13</v>
      </c>
      <c r="F80" s="8" t="n">
        <v>7</v>
      </c>
      <c r="G80" s="9" t="n">
        <f aca="false">IF(AND(ISNUMBER(F80),ISNUMBER(C80)),F80-C80,"")</f>
        <v>1</v>
      </c>
      <c r="H80" s="10" t="n">
        <f aca="false">IF(AND(ISNUMBER(G80),ISNUMBER(C80),C80&lt;&gt;0),G80/C80,"")</f>
        <v>0.166666666666667</v>
      </c>
      <c r="I80" s="8" t="n">
        <v>1.25</v>
      </c>
      <c r="J80" s="10" t="n">
        <f aca="false">IF(AND(ISNUMBER(F80),ISNUMBER(I80),F80&lt;&gt;0),1-(I80/F80),"")</f>
        <v>0.821428571428571</v>
      </c>
    </row>
    <row r="81" customFormat="false" ht="15" hidden="false" customHeight="false" outlineLevel="0" collapsed="false">
      <c r="A81" s="3" t="s">
        <v>114</v>
      </c>
      <c r="B81" s="3" t="s">
        <v>119</v>
      </c>
      <c r="C81" s="4" t="n">
        <v>9</v>
      </c>
      <c r="D81" s="3" t="s">
        <v>13</v>
      </c>
      <c r="E81" s="3" t="s">
        <v>13</v>
      </c>
      <c r="F81" s="4" t="n">
        <v>9</v>
      </c>
      <c r="G81" s="5" t="n">
        <f aca="false">IF(AND(ISNUMBER(F81),ISNUMBER(C81)),F81-C81,"")</f>
        <v>0</v>
      </c>
      <c r="H81" s="6" t="n">
        <f aca="false">IF(AND(ISNUMBER(G81),ISNUMBER(C81),C81&lt;&gt;0),G81/C81,"")</f>
        <v>0</v>
      </c>
      <c r="I81" s="4" t="n">
        <v>2.5</v>
      </c>
      <c r="J81" s="6" t="n">
        <f aca="false">IF(AND(ISNUMBER(F81),ISNUMBER(I81),F81&lt;&gt;0),1-(I81/F81),"")</f>
        <v>0.722222222222222</v>
      </c>
    </row>
    <row r="82" customFormat="false" ht="15" hidden="false" customHeight="false" outlineLevel="0" collapsed="false">
      <c r="A82" s="7" t="s">
        <v>114</v>
      </c>
      <c r="B82" s="7" t="s">
        <v>120</v>
      </c>
      <c r="C82" s="8" t="n">
        <v>7</v>
      </c>
      <c r="D82" s="7" t="s">
        <v>13</v>
      </c>
      <c r="E82" s="7" t="s">
        <v>13</v>
      </c>
      <c r="F82" s="8" t="n">
        <v>8</v>
      </c>
      <c r="G82" s="9" t="n">
        <f aca="false">IF(AND(ISNUMBER(F82),ISNUMBER(C82)),F82-C82,"")</f>
        <v>1</v>
      </c>
      <c r="H82" s="10" t="n">
        <f aca="false">IF(AND(ISNUMBER(G82),ISNUMBER(C82),C82&lt;&gt;0),G82/C82,"")</f>
        <v>0.142857142857143</v>
      </c>
      <c r="I82" s="8" t="n">
        <v>2</v>
      </c>
      <c r="J82" s="10" t="n">
        <f aca="false">IF(AND(ISNUMBER(F82),ISNUMBER(I82),F82&lt;&gt;0),1-(I82/F82),"")</f>
        <v>0.75</v>
      </c>
    </row>
    <row r="83" customFormat="false" ht="15" hidden="false" customHeight="false" outlineLevel="0" collapsed="false">
      <c r="A83" s="3" t="s">
        <v>114</v>
      </c>
      <c r="B83" s="3" t="s">
        <v>121</v>
      </c>
      <c r="C83" s="4" t="n">
        <v>8</v>
      </c>
      <c r="D83" s="3" t="s">
        <v>13</v>
      </c>
      <c r="E83" s="3" t="s">
        <v>13</v>
      </c>
      <c r="F83" s="4" t="n">
        <v>8</v>
      </c>
      <c r="G83" s="5" t="n">
        <f aca="false">IF(AND(ISNUMBER(F83),ISNUMBER(C83)),F83-C83,"")</f>
        <v>0</v>
      </c>
      <c r="H83" s="6" t="n">
        <f aca="false">IF(AND(ISNUMBER(G83),ISNUMBER(C83),C83&lt;&gt;0),G83/C83,"")</f>
        <v>0</v>
      </c>
      <c r="I83" s="4" t="n">
        <v>2.25</v>
      </c>
      <c r="J83" s="6" t="n">
        <f aca="false">IF(AND(ISNUMBER(F83),ISNUMBER(I83),F83&lt;&gt;0),1-(I83/F83),"")</f>
        <v>0.71875</v>
      </c>
    </row>
    <row r="84" customFormat="false" ht="15" hidden="false" customHeight="false" outlineLevel="0" collapsed="false">
      <c r="A84" s="7" t="s">
        <v>114</v>
      </c>
      <c r="B84" s="7" t="s">
        <v>122</v>
      </c>
      <c r="C84" s="8" t="n">
        <v>8</v>
      </c>
      <c r="D84" s="7" t="s">
        <v>13</v>
      </c>
      <c r="E84" s="7" t="s">
        <v>13</v>
      </c>
      <c r="F84" s="8" t="n">
        <v>8</v>
      </c>
      <c r="G84" s="9" t="n">
        <f aca="false">IF(AND(ISNUMBER(F84),ISNUMBER(C84)),F84-C84,"")</f>
        <v>0</v>
      </c>
      <c r="H84" s="10" t="n">
        <f aca="false">IF(AND(ISNUMBER(G84),ISNUMBER(C84),C84&lt;&gt;0),G84/C84,"")</f>
        <v>0</v>
      </c>
      <c r="I84" s="8" t="n">
        <v>2.25</v>
      </c>
      <c r="J84" s="10" t="n">
        <f aca="false">IF(AND(ISNUMBER(F84),ISNUMBER(I84),F84&lt;&gt;0),1-(I84/F84),"")</f>
        <v>0.71875</v>
      </c>
    </row>
    <row r="85" customFormat="false" ht="15" hidden="false" customHeight="false" outlineLevel="0" collapsed="false">
      <c r="A85" s="3" t="s">
        <v>114</v>
      </c>
      <c r="B85" s="3" t="s">
        <v>123</v>
      </c>
      <c r="C85" s="4" t="n">
        <v>7</v>
      </c>
      <c r="D85" s="3" t="s">
        <v>13</v>
      </c>
      <c r="E85" s="3" t="s">
        <v>13</v>
      </c>
      <c r="F85" s="4" t="n">
        <v>7</v>
      </c>
      <c r="G85" s="5" t="n">
        <f aca="false">IF(AND(ISNUMBER(F85),ISNUMBER(C85)),F85-C85,"")</f>
        <v>0</v>
      </c>
      <c r="H85" s="6" t="n">
        <f aca="false">IF(AND(ISNUMBER(G85),ISNUMBER(C85),C85&lt;&gt;0),G85/C85,"")</f>
        <v>0</v>
      </c>
      <c r="I85" s="4" t="n">
        <v>1.75</v>
      </c>
      <c r="J85" s="6" t="n">
        <f aca="false">IF(AND(ISNUMBER(F85),ISNUMBER(I85),F85&lt;&gt;0),1-(I85/F85),"")</f>
        <v>0.75</v>
      </c>
    </row>
    <row r="86" customFormat="false" ht="15" hidden="false" customHeight="false" outlineLevel="0" collapsed="false">
      <c r="A86" s="7" t="s">
        <v>114</v>
      </c>
      <c r="B86" s="7" t="s">
        <v>124</v>
      </c>
      <c r="C86" s="8" t="n">
        <v>7</v>
      </c>
      <c r="D86" s="7" t="s">
        <v>13</v>
      </c>
      <c r="E86" s="7" t="s">
        <v>13</v>
      </c>
      <c r="F86" s="8" t="n">
        <v>7</v>
      </c>
      <c r="G86" s="9" t="n">
        <f aca="false">IF(AND(ISNUMBER(F86),ISNUMBER(C86)),F86-C86,"")</f>
        <v>0</v>
      </c>
      <c r="H86" s="10" t="n">
        <f aca="false">IF(AND(ISNUMBER(G86),ISNUMBER(C86),C86&lt;&gt;0),G86/C86,"")</f>
        <v>0</v>
      </c>
      <c r="I86" s="8" t="n">
        <v>2</v>
      </c>
      <c r="J86" s="10" t="n">
        <f aca="false">IF(AND(ISNUMBER(F86),ISNUMBER(I86),F86&lt;&gt;0),1-(I86/F86),"")</f>
        <v>0.714285714285714</v>
      </c>
    </row>
    <row r="87" customFormat="false" ht="15" hidden="false" customHeight="false" outlineLevel="0" collapsed="false">
      <c r="A87" s="3" t="s">
        <v>114</v>
      </c>
      <c r="B87" s="3" t="s">
        <v>125</v>
      </c>
      <c r="C87" s="4" t="n">
        <v>7</v>
      </c>
      <c r="D87" s="3" t="s">
        <v>13</v>
      </c>
      <c r="E87" s="3" t="s">
        <v>13</v>
      </c>
      <c r="F87" s="4" t="n">
        <v>7</v>
      </c>
      <c r="G87" s="5" t="n">
        <f aca="false">IF(AND(ISNUMBER(F87),ISNUMBER(C87)),F87-C87,"")</f>
        <v>0</v>
      </c>
      <c r="H87" s="6" t="n">
        <f aca="false">IF(AND(ISNUMBER(G87),ISNUMBER(C87),C87&lt;&gt;0),G87/C87,"")</f>
        <v>0</v>
      </c>
      <c r="I87" s="4" t="n">
        <v>2.25</v>
      </c>
      <c r="J87" s="6" t="n">
        <f aca="false">IF(AND(ISNUMBER(F87),ISNUMBER(I87),F87&lt;&gt;0),1-(I87/F87),"")</f>
        <v>0.678571428571429</v>
      </c>
    </row>
    <row r="88" customFormat="false" ht="15" hidden="false" customHeight="false" outlineLevel="0" collapsed="false">
      <c r="A88" s="7" t="s">
        <v>126</v>
      </c>
      <c r="B88" s="7" t="s">
        <v>127</v>
      </c>
      <c r="C88" s="8" t="n">
        <v>8</v>
      </c>
      <c r="D88" s="7" t="s">
        <v>128</v>
      </c>
      <c r="E88" s="7" t="s">
        <v>13</v>
      </c>
      <c r="F88" s="8" t="n">
        <v>8</v>
      </c>
      <c r="G88" s="9" t="n">
        <f aca="false">IF(AND(ISNUMBER(F88),ISNUMBER(C88)),F88-C88,"")</f>
        <v>0</v>
      </c>
      <c r="H88" s="10" t="n">
        <f aca="false">IF(AND(ISNUMBER(G88),ISNUMBER(C88),C88&lt;&gt;0),G88/C88,"")</f>
        <v>0</v>
      </c>
      <c r="I88" s="8" t="n">
        <v>1.75</v>
      </c>
      <c r="J88" s="10" t="n">
        <f aca="false">IF(AND(ISNUMBER(F88),ISNUMBER(I88),F88&lt;&gt;0),1-(I88/F88),"")</f>
        <v>0.78125</v>
      </c>
    </row>
    <row r="89" customFormat="false" ht="15" hidden="false" customHeight="false" outlineLevel="0" collapsed="false">
      <c r="A89" s="3" t="s">
        <v>126</v>
      </c>
      <c r="B89" s="3" t="s">
        <v>129</v>
      </c>
      <c r="C89" s="4" t="n">
        <v>30</v>
      </c>
      <c r="D89" s="3" t="s">
        <v>13</v>
      </c>
      <c r="E89" s="3" t="s">
        <v>13</v>
      </c>
      <c r="F89" s="4" t="n">
        <v>30</v>
      </c>
      <c r="G89" s="5" t="n">
        <f aca="false">IF(AND(ISNUMBER(F89),ISNUMBER(C89)),F89-C89,"")</f>
        <v>0</v>
      </c>
      <c r="H89" s="6" t="n">
        <f aca="false">IF(AND(ISNUMBER(G89),ISNUMBER(C89),C89&lt;&gt;0),G89/C89,"")</f>
        <v>0</v>
      </c>
      <c r="I89" s="4" t="n">
        <v>7</v>
      </c>
      <c r="J89" s="6" t="n">
        <f aca="false">IF(AND(ISNUMBER(F89),ISNUMBER(I89),F89&lt;&gt;0),1-(I89/F89),"")</f>
        <v>0.766666666666667</v>
      </c>
    </row>
    <row r="90" customFormat="false" ht="15" hidden="false" customHeight="false" outlineLevel="0" collapsed="false">
      <c r="A90" s="7" t="s">
        <v>126</v>
      </c>
      <c r="B90" s="7" t="s">
        <v>130</v>
      </c>
      <c r="C90" s="8" t="n">
        <v>9</v>
      </c>
      <c r="D90" s="7" t="s">
        <v>13</v>
      </c>
      <c r="E90" s="7" t="s">
        <v>13</v>
      </c>
      <c r="F90" s="8" t="n">
        <v>9</v>
      </c>
      <c r="G90" s="9" t="n">
        <f aca="false">IF(AND(ISNUMBER(F90),ISNUMBER(C90)),F90-C90,"")</f>
        <v>0</v>
      </c>
      <c r="H90" s="10" t="n">
        <f aca="false">IF(AND(ISNUMBER(G90),ISNUMBER(C90),C90&lt;&gt;0),G90/C90,"")</f>
        <v>0</v>
      </c>
      <c r="I90" s="8" t="n">
        <v>2</v>
      </c>
      <c r="J90" s="10" t="n">
        <f aca="false">IF(AND(ISNUMBER(F90),ISNUMBER(I90),F90&lt;&gt;0),1-(I90/F90),"")</f>
        <v>0.777777777777778</v>
      </c>
    </row>
    <row r="91" customFormat="false" ht="15" hidden="false" customHeight="false" outlineLevel="0" collapsed="false">
      <c r="A91" s="3" t="s">
        <v>126</v>
      </c>
      <c r="B91" s="3" t="s">
        <v>131</v>
      </c>
      <c r="C91" s="4" t="n">
        <v>32</v>
      </c>
      <c r="D91" s="3" t="s">
        <v>13</v>
      </c>
      <c r="E91" s="3" t="s">
        <v>13</v>
      </c>
      <c r="F91" s="4" t="n">
        <v>32</v>
      </c>
      <c r="G91" s="5" t="n">
        <f aca="false">IF(AND(ISNUMBER(F91),ISNUMBER(C91)),F91-C91,"")</f>
        <v>0</v>
      </c>
      <c r="H91" s="6" t="n">
        <f aca="false">IF(AND(ISNUMBER(G91),ISNUMBER(C91),C91&lt;&gt;0),G91/C91,"")</f>
        <v>0</v>
      </c>
      <c r="I91" s="4" t="n">
        <v>8</v>
      </c>
      <c r="J91" s="6" t="n">
        <f aca="false">IF(AND(ISNUMBER(F91),ISNUMBER(I91),F91&lt;&gt;0),1-(I91/F91),"")</f>
        <v>0.75</v>
      </c>
    </row>
    <row r="92" customFormat="false" ht="15" hidden="false" customHeight="false" outlineLevel="0" collapsed="false">
      <c r="A92" s="7" t="s">
        <v>126</v>
      </c>
      <c r="B92" s="7" t="s">
        <v>132</v>
      </c>
      <c r="C92" s="8" t="n">
        <v>9</v>
      </c>
      <c r="D92" s="7" t="s">
        <v>13</v>
      </c>
      <c r="E92" s="7" t="s">
        <v>13</v>
      </c>
      <c r="F92" s="8" t="n">
        <v>10</v>
      </c>
      <c r="G92" s="9" t="n">
        <f aca="false">IF(AND(ISNUMBER(F92),ISNUMBER(C92)),F92-C92,"")</f>
        <v>1</v>
      </c>
      <c r="H92" s="10" t="n">
        <f aca="false">IF(AND(ISNUMBER(G92),ISNUMBER(C92),C92&lt;&gt;0),G92/C92,"")</f>
        <v>0.111111111111111</v>
      </c>
      <c r="I92" s="8" t="n">
        <v>2.5</v>
      </c>
      <c r="J92" s="10" t="n">
        <f aca="false">IF(AND(ISNUMBER(F92),ISNUMBER(I92),F92&lt;&gt;0),1-(I92/F92),"")</f>
        <v>0.75</v>
      </c>
    </row>
    <row r="93" customFormat="false" ht="15" hidden="false" customHeight="false" outlineLevel="0" collapsed="false">
      <c r="A93" s="3" t="s">
        <v>126</v>
      </c>
      <c r="B93" s="3" t="s">
        <v>133</v>
      </c>
      <c r="C93" s="4" t="n">
        <v>32</v>
      </c>
      <c r="D93" s="3" t="s">
        <v>13</v>
      </c>
      <c r="E93" s="3" t="s">
        <v>13</v>
      </c>
      <c r="F93" s="4" t="n">
        <v>36</v>
      </c>
      <c r="G93" s="5" t="n">
        <f aca="false">IF(AND(ISNUMBER(F93),ISNUMBER(C93)),F93-C93,"")</f>
        <v>4</v>
      </c>
      <c r="H93" s="6" t="n">
        <f aca="false">IF(AND(ISNUMBER(G93),ISNUMBER(C93),C93&lt;&gt;0),G93/C93,"")</f>
        <v>0.125</v>
      </c>
      <c r="I93" s="4" t="n">
        <v>10</v>
      </c>
      <c r="J93" s="6" t="n">
        <f aca="false">IF(AND(ISNUMBER(F93),ISNUMBER(I93),F93&lt;&gt;0),1-(I93/F93),"")</f>
        <v>0.722222222222222</v>
      </c>
    </row>
    <row r="94" customFormat="false" ht="15" hidden="false" customHeight="false" outlineLevel="0" collapsed="false">
      <c r="A94" s="7" t="s">
        <v>126</v>
      </c>
      <c r="B94" s="7" t="s">
        <v>134</v>
      </c>
      <c r="C94" s="8" t="n">
        <v>10</v>
      </c>
      <c r="D94" s="7" t="s">
        <v>13</v>
      </c>
      <c r="E94" s="7" t="s">
        <v>13</v>
      </c>
      <c r="F94" s="8" t="n">
        <v>10</v>
      </c>
      <c r="G94" s="9" t="n">
        <f aca="false">IF(AND(ISNUMBER(F94),ISNUMBER(C94)),F94-C94,"")</f>
        <v>0</v>
      </c>
      <c r="H94" s="10" t="n">
        <f aca="false">IF(AND(ISNUMBER(G94),ISNUMBER(C94),C94&lt;&gt;0),G94/C94,"")</f>
        <v>0</v>
      </c>
      <c r="I94" s="8" t="n">
        <v>2.75</v>
      </c>
      <c r="J94" s="10" t="n">
        <f aca="false">IF(AND(ISNUMBER(F94),ISNUMBER(I94),F94&lt;&gt;0),1-(I94/F94),"")</f>
        <v>0.725</v>
      </c>
    </row>
    <row r="95" customFormat="false" ht="15" hidden="false" customHeight="false" outlineLevel="0" collapsed="false">
      <c r="A95" s="3" t="s">
        <v>126</v>
      </c>
      <c r="B95" s="3" t="s">
        <v>135</v>
      </c>
      <c r="C95" s="4" t="n">
        <v>36</v>
      </c>
      <c r="D95" s="3" t="s">
        <v>13</v>
      </c>
      <c r="E95" s="3" t="s">
        <v>13</v>
      </c>
      <c r="F95" s="4" t="n">
        <v>36</v>
      </c>
      <c r="G95" s="5" t="n">
        <f aca="false">IF(AND(ISNUMBER(F95),ISNUMBER(C95)),F95-C95,"")</f>
        <v>0</v>
      </c>
      <c r="H95" s="6" t="n">
        <f aca="false">IF(AND(ISNUMBER(G95),ISNUMBER(C95),C95&lt;&gt;0),G95/C95,"")</f>
        <v>0</v>
      </c>
      <c r="I95" s="4" t="n">
        <v>11</v>
      </c>
      <c r="J95" s="6" t="n">
        <f aca="false">IF(AND(ISNUMBER(F95),ISNUMBER(I95),F95&lt;&gt;0),1-(I95/F95),"")</f>
        <v>0.694444444444444</v>
      </c>
    </row>
    <row r="96" customFormat="false" ht="15" hidden="false" customHeight="false" outlineLevel="0" collapsed="false">
      <c r="A96" s="7" t="s">
        <v>126</v>
      </c>
      <c r="B96" s="7" t="s">
        <v>136</v>
      </c>
      <c r="C96" s="8" t="n">
        <v>10</v>
      </c>
      <c r="D96" s="7" t="s">
        <v>13</v>
      </c>
      <c r="E96" s="7" t="s">
        <v>13</v>
      </c>
      <c r="F96" s="8" t="n">
        <v>10</v>
      </c>
      <c r="G96" s="9" t="n">
        <f aca="false">IF(AND(ISNUMBER(F96),ISNUMBER(C96)),F96-C96,"")</f>
        <v>0</v>
      </c>
      <c r="H96" s="10" t="n">
        <f aca="false">IF(AND(ISNUMBER(G96),ISNUMBER(C96),C96&lt;&gt;0),G96/C96,"")</f>
        <v>0</v>
      </c>
      <c r="I96" s="8" t="n">
        <v>2.75</v>
      </c>
      <c r="J96" s="10" t="n">
        <f aca="false">IF(AND(ISNUMBER(F96),ISNUMBER(I96),F96&lt;&gt;0),1-(I96/F96),"")</f>
        <v>0.725</v>
      </c>
    </row>
    <row r="97" customFormat="false" ht="15" hidden="false" customHeight="false" outlineLevel="0" collapsed="false">
      <c r="A97" s="3" t="s">
        <v>126</v>
      </c>
      <c r="B97" s="3" t="s">
        <v>137</v>
      </c>
      <c r="C97" s="4" t="n">
        <v>36</v>
      </c>
      <c r="D97" s="3" t="s">
        <v>13</v>
      </c>
      <c r="E97" s="3" t="s">
        <v>13</v>
      </c>
      <c r="F97" s="4" t="n">
        <v>36</v>
      </c>
      <c r="G97" s="5" t="n">
        <f aca="false">IF(AND(ISNUMBER(F97),ISNUMBER(C97)),F97-C97,"")</f>
        <v>0</v>
      </c>
      <c r="H97" s="6" t="n">
        <f aca="false">IF(AND(ISNUMBER(G97),ISNUMBER(C97),C97&lt;&gt;0),G97/C97,"")</f>
        <v>0</v>
      </c>
      <c r="I97" s="4" t="n">
        <v>11</v>
      </c>
      <c r="J97" s="6" t="n">
        <f aca="false">IF(AND(ISNUMBER(F97),ISNUMBER(I97),F97&lt;&gt;0),1-(I97/F97),"")</f>
        <v>0.694444444444444</v>
      </c>
    </row>
    <row r="98" customFormat="false" ht="15" hidden="false" customHeight="false" outlineLevel="0" collapsed="false">
      <c r="A98" s="7" t="s">
        <v>126</v>
      </c>
      <c r="B98" s="7" t="s">
        <v>138</v>
      </c>
      <c r="C98" s="8" t="n">
        <v>8</v>
      </c>
      <c r="D98" s="7" t="s">
        <v>13</v>
      </c>
      <c r="E98" s="7" t="s">
        <v>13</v>
      </c>
      <c r="F98" s="8" t="n">
        <v>9</v>
      </c>
      <c r="G98" s="9" t="n">
        <f aca="false">IF(AND(ISNUMBER(F98),ISNUMBER(C98)),F98-C98,"")</f>
        <v>1</v>
      </c>
      <c r="H98" s="10" t="n">
        <f aca="false">IF(AND(ISNUMBER(G98),ISNUMBER(C98),C98&lt;&gt;0),G98/C98,"")</f>
        <v>0.125</v>
      </c>
      <c r="I98" s="8" t="n">
        <v>2</v>
      </c>
      <c r="J98" s="10" t="n">
        <f aca="false">IF(AND(ISNUMBER(F98),ISNUMBER(I98),F98&lt;&gt;0),1-(I98/F98),"")</f>
        <v>0.777777777777778</v>
      </c>
    </row>
    <row r="99" customFormat="false" ht="15" hidden="false" customHeight="false" outlineLevel="0" collapsed="false">
      <c r="A99" s="3" t="s">
        <v>126</v>
      </c>
      <c r="B99" s="3" t="s">
        <v>139</v>
      </c>
      <c r="C99" s="4" t="n">
        <v>30</v>
      </c>
      <c r="D99" s="3" t="s">
        <v>13</v>
      </c>
      <c r="E99" s="3" t="s">
        <v>13</v>
      </c>
      <c r="F99" s="4" t="n">
        <v>32</v>
      </c>
      <c r="G99" s="5" t="n">
        <f aca="false">IF(AND(ISNUMBER(F99),ISNUMBER(C99)),F99-C99,"")</f>
        <v>2</v>
      </c>
      <c r="H99" s="6" t="n">
        <f aca="false">IF(AND(ISNUMBER(G99),ISNUMBER(C99),C99&lt;&gt;0),G99/C99,"")</f>
        <v>0.0666666666666667</v>
      </c>
      <c r="I99" s="4" t="n">
        <v>8</v>
      </c>
      <c r="J99" s="6" t="n">
        <f aca="false">IF(AND(ISNUMBER(F99),ISNUMBER(I99),F99&lt;&gt;0),1-(I99/F99),"")</f>
        <v>0.75</v>
      </c>
    </row>
    <row r="100" customFormat="false" ht="15" hidden="false" customHeight="false" outlineLevel="0" collapsed="false">
      <c r="A100" s="7" t="s">
        <v>126</v>
      </c>
      <c r="B100" s="7" t="s">
        <v>140</v>
      </c>
      <c r="C100" s="8" t="n">
        <v>8</v>
      </c>
      <c r="D100" s="7" t="s">
        <v>13</v>
      </c>
      <c r="E100" s="7" t="s">
        <v>13</v>
      </c>
      <c r="F100" s="8" t="n">
        <v>9</v>
      </c>
      <c r="G100" s="9" t="n">
        <f aca="false">IF(AND(ISNUMBER(F100),ISNUMBER(C100)),F100-C100,"")</f>
        <v>1</v>
      </c>
      <c r="H100" s="10" t="n">
        <f aca="false">IF(AND(ISNUMBER(G100),ISNUMBER(C100),C100&lt;&gt;0),G100/C100,"")</f>
        <v>0.125</v>
      </c>
      <c r="I100" s="8" t="n">
        <v>2</v>
      </c>
      <c r="J100" s="10" t="n">
        <f aca="false">IF(AND(ISNUMBER(F100),ISNUMBER(I100),F100&lt;&gt;0),1-(I100/F100),"")</f>
        <v>0.777777777777778</v>
      </c>
    </row>
    <row r="101" customFormat="false" ht="15" hidden="false" customHeight="false" outlineLevel="0" collapsed="false">
      <c r="A101" s="3" t="s">
        <v>126</v>
      </c>
      <c r="B101" s="3" t="s">
        <v>141</v>
      </c>
      <c r="C101" s="4" t="n">
        <v>30</v>
      </c>
      <c r="D101" s="3" t="s">
        <v>13</v>
      </c>
      <c r="E101" s="3" t="s">
        <v>13</v>
      </c>
      <c r="F101" s="4" t="n">
        <v>32</v>
      </c>
      <c r="G101" s="5" t="n">
        <f aca="false">IF(AND(ISNUMBER(F101),ISNUMBER(C101)),F101-C101,"")</f>
        <v>2</v>
      </c>
      <c r="H101" s="6" t="n">
        <f aca="false">IF(AND(ISNUMBER(G101),ISNUMBER(C101),C101&lt;&gt;0),G101/C101,"")</f>
        <v>0.0666666666666667</v>
      </c>
      <c r="I101" s="4" t="n">
        <v>8</v>
      </c>
      <c r="J101" s="6" t="n">
        <f aca="false">IF(AND(ISNUMBER(F101),ISNUMBER(I101),F101&lt;&gt;0),1-(I101/F101),"")</f>
        <v>0.75</v>
      </c>
    </row>
    <row r="102" customFormat="false" ht="15" hidden="false" customHeight="false" outlineLevel="0" collapsed="false">
      <c r="A102" s="7" t="s">
        <v>126</v>
      </c>
      <c r="B102" s="7" t="s">
        <v>142</v>
      </c>
      <c r="C102" s="8" t="n">
        <v>10</v>
      </c>
      <c r="D102" s="7" t="s">
        <v>13</v>
      </c>
      <c r="E102" s="7" t="s">
        <v>13</v>
      </c>
      <c r="F102" s="8" t="n">
        <v>10</v>
      </c>
      <c r="G102" s="9" t="n">
        <f aca="false">IF(AND(ISNUMBER(F102),ISNUMBER(C102)),F102-C102,"")</f>
        <v>0</v>
      </c>
      <c r="H102" s="10" t="n">
        <f aca="false">IF(AND(ISNUMBER(G102),ISNUMBER(C102),C102&lt;&gt;0),G102/C102,"")</f>
        <v>0</v>
      </c>
      <c r="I102" s="8" t="n">
        <v>2.75</v>
      </c>
      <c r="J102" s="10" t="n">
        <f aca="false">IF(AND(ISNUMBER(F102),ISNUMBER(I102),F102&lt;&gt;0),1-(I102/F102),"")</f>
        <v>0.725</v>
      </c>
    </row>
    <row r="103" customFormat="false" ht="15" hidden="false" customHeight="false" outlineLevel="0" collapsed="false">
      <c r="A103" s="3" t="s">
        <v>126</v>
      </c>
      <c r="B103" s="3" t="s">
        <v>143</v>
      </c>
      <c r="C103" s="4" t="n">
        <v>36</v>
      </c>
      <c r="D103" s="3" t="s">
        <v>13</v>
      </c>
      <c r="E103" s="3" t="s">
        <v>13</v>
      </c>
      <c r="F103" s="4" t="n">
        <v>36</v>
      </c>
      <c r="G103" s="5" t="n">
        <f aca="false">IF(AND(ISNUMBER(F103),ISNUMBER(C103)),F103-C103,"")</f>
        <v>0</v>
      </c>
      <c r="H103" s="6" t="n">
        <f aca="false">IF(AND(ISNUMBER(G103),ISNUMBER(C103),C103&lt;&gt;0),G103/C103,"")</f>
        <v>0</v>
      </c>
      <c r="I103" s="4" t="n">
        <v>11</v>
      </c>
      <c r="J103" s="6" t="n">
        <f aca="false">IF(AND(ISNUMBER(F103),ISNUMBER(I103),F103&lt;&gt;0),1-(I103/F103),"")</f>
        <v>0.694444444444444</v>
      </c>
    </row>
    <row r="104" customFormat="false" ht="15" hidden="false" customHeight="false" outlineLevel="0" collapsed="false">
      <c r="A104" s="2" t="s">
        <v>144</v>
      </c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" hidden="false" customHeight="false" outlineLevel="0" collapsed="false">
      <c r="A105" s="3" t="s">
        <v>145</v>
      </c>
      <c r="B105" s="3" t="s">
        <v>146</v>
      </c>
      <c r="C105" s="4" t="n">
        <v>16</v>
      </c>
      <c r="D105" s="3" t="s">
        <v>147</v>
      </c>
      <c r="E105" s="3" t="s">
        <v>13</v>
      </c>
      <c r="F105" s="4" t="n">
        <v>16</v>
      </c>
      <c r="G105" s="5" t="n">
        <f aca="false">IF(AND(ISNUMBER(F105),ISNUMBER(C105)),F105-C105,"")</f>
        <v>0</v>
      </c>
      <c r="H105" s="6" t="n">
        <f aca="false">IF(AND(ISNUMBER(G105),ISNUMBER(C105),C105&lt;&gt;0),G105/C105,"")</f>
        <v>0</v>
      </c>
      <c r="I105" s="4" t="n">
        <v>3.5</v>
      </c>
      <c r="J105" s="6" t="n">
        <f aca="false">IF(AND(ISNUMBER(F105),ISNUMBER(I105),F105&lt;&gt;0),1-(I105/F105),"")</f>
        <v>0.78125</v>
      </c>
    </row>
    <row r="106" customFormat="false" ht="15" hidden="false" customHeight="false" outlineLevel="0" collapsed="false">
      <c r="A106" s="7" t="s">
        <v>145</v>
      </c>
      <c r="B106" s="7" t="s">
        <v>148</v>
      </c>
      <c r="C106" s="8" t="n">
        <v>14</v>
      </c>
      <c r="D106" s="7" t="s">
        <v>13</v>
      </c>
      <c r="E106" s="7" t="s">
        <v>13</v>
      </c>
      <c r="F106" s="8" t="n">
        <v>14</v>
      </c>
      <c r="G106" s="9" t="n">
        <f aca="false">IF(AND(ISNUMBER(F106),ISNUMBER(C106)),F106-C106,"")</f>
        <v>0</v>
      </c>
      <c r="H106" s="10" t="n">
        <f aca="false">IF(AND(ISNUMBER(G106),ISNUMBER(C106),C106&lt;&gt;0),G106/C106,"")</f>
        <v>0</v>
      </c>
      <c r="I106" s="8" t="n">
        <v>2.75</v>
      </c>
      <c r="J106" s="10" t="n">
        <f aca="false">IF(AND(ISNUMBER(F106),ISNUMBER(I106),F106&lt;&gt;0),1-(I106/F106),"")</f>
        <v>0.803571428571429</v>
      </c>
    </row>
    <row r="107" customFormat="false" ht="15" hidden="false" customHeight="false" outlineLevel="0" collapsed="false">
      <c r="A107" s="3" t="s">
        <v>145</v>
      </c>
      <c r="B107" s="3" t="s">
        <v>149</v>
      </c>
      <c r="C107" s="4" t="n">
        <v>14</v>
      </c>
      <c r="D107" s="3" t="s">
        <v>13</v>
      </c>
      <c r="E107" s="3" t="s">
        <v>13</v>
      </c>
      <c r="F107" s="4" t="n">
        <v>15</v>
      </c>
      <c r="G107" s="5" t="n">
        <f aca="false">IF(AND(ISNUMBER(F107),ISNUMBER(C107)),F107-C107,"")</f>
        <v>1</v>
      </c>
      <c r="H107" s="6" t="n">
        <f aca="false">IF(AND(ISNUMBER(G107),ISNUMBER(C107),C107&lt;&gt;0),G107/C107,"")</f>
        <v>0.0714285714285714</v>
      </c>
      <c r="I107" s="4" t="n">
        <v>3.25</v>
      </c>
      <c r="J107" s="6" t="n">
        <f aca="false">IF(AND(ISNUMBER(F107),ISNUMBER(I107),F107&lt;&gt;0),1-(I107/F107),"")</f>
        <v>0.783333333333333</v>
      </c>
    </row>
    <row r="108" customFormat="false" ht="15" hidden="false" customHeight="false" outlineLevel="0" collapsed="false">
      <c r="A108" s="7" t="s">
        <v>145</v>
      </c>
      <c r="B108" s="7" t="s">
        <v>150</v>
      </c>
      <c r="C108" s="8" t="n">
        <v>15</v>
      </c>
      <c r="D108" s="7" t="s">
        <v>13</v>
      </c>
      <c r="E108" s="7" t="s">
        <v>13</v>
      </c>
      <c r="F108" s="8" t="n">
        <v>15</v>
      </c>
      <c r="G108" s="9" t="n">
        <f aca="false">IF(AND(ISNUMBER(F108),ISNUMBER(C108)),F108-C108,"")</f>
        <v>0</v>
      </c>
      <c r="H108" s="10" t="n">
        <f aca="false">IF(AND(ISNUMBER(G108),ISNUMBER(C108),C108&lt;&gt;0),G108/C108,"")</f>
        <v>0</v>
      </c>
      <c r="I108" s="8" t="n">
        <v>3</v>
      </c>
      <c r="J108" s="10" t="n">
        <f aca="false">IF(AND(ISNUMBER(F108),ISNUMBER(I108),F108&lt;&gt;0),1-(I108/F108),"")</f>
        <v>0.8</v>
      </c>
    </row>
    <row r="109" customFormat="false" ht="15" hidden="false" customHeight="false" outlineLevel="0" collapsed="false">
      <c r="A109" s="3" t="s">
        <v>145</v>
      </c>
      <c r="B109" s="3" t="s">
        <v>151</v>
      </c>
      <c r="C109" s="4" t="n">
        <v>14</v>
      </c>
      <c r="D109" s="3" t="s">
        <v>13</v>
      </c>
      <c r="E109" s="3" t="s">
        <v>13</v>
      </c>
      <c r="F109" s="4" t="n">
        <v>15</v>
      </c>
      <c r="G109" s="5" t="n">
        <f aca="false">IF(AND(ISNUMBER(F109),ISNUMBER(C109)),F109-C109,"")</f>
        <v>1</v>
      </c>
      <c r="H109" s="6" t="n">
        <f aca="false">IF(AND(ISNUMBER(G109),ISNUMBER(C109),C109&lt;&gt;0),G109/C109,"")</f>
        <v>0.0714285714285714</v>
      </c>
      <c r="I109" s="4" t="n">
        <v>3</v>
      </c>
      <c r="J109" s="6" t="n">
        <f aca="false">IF(AND(ISNUMBER(F109),ISNUMBER(I109),F109&lt;&gt;0),1-(I109/F109),"")</f>
        <v>0.8</v>
      </c>
    </row>
    <row r="110" customFormat="false" ht="15" hidden="false" customHeight="false" outlineLevel="0" collapsed="false">
      <c r="A110" s="7" t="s">
        <v>145</v>
      </c>
      <c r="B110" s="7" t="s">
        <v>152</v>
      </c>
      <c r="C110" s="8" t="n">
        <v>12</v>
      </c>
      <c r="D110" s="7" t="s">
        <v>153</v>
      </c>
      <c r="E110" s="7" t="s">
        <v>13</v>
      </c>
      <c r="F110" s="8" t="n">
        <v>13</v>
      </c>
      <c r="G110" s="9" t="n">
        <f aca="false">IF(AND(ISNUMBER(F110),ISNUMBER(C110)),F110-C110,"")</f>
        <v>1</v>
      </c>
      <c r="H110" s="10" t="n">
        <f aca="false">IF(AND(ISNUMBER(G110),ISNUMBER(C110),C110&lt;&gt;0),G110/C110,"")</f>
        <v>0.0833333333333333</v>
      </c>
      <c r="I110" s="8" t="n">
        <v>2.5</v>
      </c>
      <c r="J110" s="10" t="n">
        <f aca="false">IF(AND(ISNUMBER(F110),ISNUMBER(I110),F110&lt;&gt;0),1-(I110/F110),"")</f>
        <v>0.807692307692308</v>
      </c>
    </row>
    <row r="111" customFormat="false" ht="15" hidden="false" customHeight="false" outlineLevel="0" collapsed="false">
      <c r="A111" s="3" t="s">
        <v>145</v>
      </c>
      <c r="B111" s="3" t="s">
        <v>154</v>
      </c>
      <c r="C111" s="4" t="n">
        <v>13</v>
      </c>
      <c r="D111" s="3" t="s">
        <v>13</v>
      </c>
      <c r="E111" s="3" t="s">
        <v>13</v>
      </c>
      <c r="F111" s="4" t="n">
        <v>14</v>
      </c>
      <c r="G111" s="5" t="n">
        <f aca="false">IF(AND(ISNUMBER(F111),ISNUMBER(C111)),F111-C111,"")</f>
        <v>1</v>
      </c>
      <c r="H111" s="6" t="n">
        <f aca="false">IF(AND(ISNUMBER(G111),ISNUMBER(C111),C111&lt;&gt;0),G111/C111,"")</f>
        <v>0.0769230769230769</v>
      </c>
      <c r="I111" s="4" t="n">
        <v>3.25</v>
      </c>
      <c r="J111" s="6" t="n">
        <f aca="false">IF(AND(ISNUMBER(F111),ISNUMBER(I111),F111&lt;&gt;0),1-(I111/F111),"")</f>
        <v>0.767857142857143</v>
      </c>
    </row>
    <row r="112" customFormat="false" ht="15" hidden="false" customHeight="false" outlineLevel="0" collapsed="false">
      <c r="A112" s="7" t="s">
        <v>145</v>
      </c>
      <c r="B112" s="7" t="s">
        <v>155</v>
      </c>
      <c r="C112" s="8" t="n">
        <v>13</v>
      </c>
      <c r="D112" s="7" t="s">
        <v>13</v>
      </c>
      <c r="E112" s="7" t="s">
        <v>13</v>
      </c>
      <c r="F112" s="8" t="n">
        <v>14</v>
      </c>
      <c r="G112" s="9" t="n">
        <f aca="false">IF(AND(ISNUMBER(F112),ISNUMBER(C112)),F112-C112,"")</f>
        <v>1</v>
      </c>
      <c r="H112" s="10" t="n">
        <f aca="false">IF(AND(ISNUMBER(G112),ISNUMBER(C112),C112&lt;&gt;0),G112/C112,"")</f>
        <v>0.0769230769230769</v>
      </c>
      <c r="I112" s="8" t="n">
        <v>2.75</v>
      </c>
      <c r="J112" s="10" t="n">
        <f aca="false">IF(AND(ISNUMBER(F112),ISNUMBER(I112),F112&lt;&gt;0),1-(I112/F112),"")</f>
        <v>0.803571428571429</v>
      </c>
    </row>
    <row r="113" customFormat="false" ht="15" hidden="false" customHeight="false" outlineLevel="0" collapsed="false">
      <c r="A113" s="3" t="s">
        <v>145</v>
      </c>
      <c r="B113" s="3" t="s">
        <v>156</v>
      </c>
      <c r="C113" s="4" t="n">
        <v>12</v>
      </c>
      <c r="D113" s="3" t="s">
        <v>13</v>
      </c>
      <c r="E113" s="3" t="s">
        <v>13</v>
      </c>
      <c r="F113" s="4" t="n">
        <v>13</v>
      </c>
      <c r="G113" s="5" t="n">
        <f aca="false">IF(AND(ISNUMBER(F113),ISNUMBER(C113)),F113-C113,"")</f>
        <v>1</v>
      </c>
      <c r="H113" s="6" t="n">
        <f aca="false">IF(AND(ISNUMBER(G113),ISNUMBER(C113),C113&lt;&gt;0),G113/C113,"")</f>
        <v>0.0833333333333333</v>
      </c>
      <c r="I113" s="4" t="n">
        <v>2.75</v>
      </c>
      <c r="J113" s="6" t="n">
        <f aca="false">IF(AND(ISNUMBER(F113),ISNUMBER(I113),F113&lt;&gt;0),1-(I113/F113),"")</f>
        <v>0.788461538461538</v>
      </c>
    </row>
    <row r="114" customFormat="false" ht="15" hidden="false" customHeight="false" outlineLevel="0" collapsed="false">
      <c r="A114" s="7" t="s">
        <v>145</v>
      </c>
      <c r="B114" s="7" t="s">
        <v>157</v>
      </c>
      <c r="C114" s="8" t="n">
        <v>14</v>
      </c>
      <c r="D114" s="7" t="s">
        <v>13</v>
      </c>
      <c r="E114" s="7" t="s">
        <v>13</v>
      </c>
      <c r="F114" s="8" t="n">
        <v>15</v>
      </c>
      <c r="G114" s="9" t="n">
        <f aca="false">IF(AND(ISNUMBER(F114),ISNUMBER(C114)),F114-C114,"")</f>
        <v>1</v>
      </c>
      <c r="H114" s="10" t="n">
        <f aca="false">IF(AND(ISNUMBER(G114),ISNUMBER(C114),C114&lt;&gt;0),G114/C114,"")</f>
        <v>0.0714285714285714</v>
      </c>
      <c r="I114" s="8" t="n">
        <v>3.25</v>
      </c>
      <c r="J114" s="10" t="n">
        <f aca="false">IF(AND(ISNUMBER(F114),ISNUMBER(I114),F114&lt;&gt;0),1-(I114/F114),"")</f>
        <v>0.783333333333333</v>
      </c>
    </row>
    <row r="115" customFormat="false" ht="15" hidden="false" customHeight="false" outlineLevel="0" collapsed="false">
      <c r="A115" s="2" t="s">
        <v>158</v>
      </c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" hidden="false" customHeight="false" outlineLevel="0" collapsed="false">
      <c r="A116" s="7" t="s">
        <v>159</v>
      </c>
      <c r="B116" s="7" t="s">
        <v>160</v>
      </c>
      <c r="C116" s="8" t="n">
        <v>15</v>
      </c>
      <c r="D116" s="7" t="s">
        <v>13</v>
      </c>
      <c r="E116" s="7" t="s">
        <v>13</v>
      </c>
      <c r="F116" s="8" t="n">
        <v>15</v>
      </c>
      <c r="G116" s="9" t="n">
        <f aca="false">IF(AND(ISNUMBER(F116),ISNUMBER(C116)),F116-C116,"")</f>
        <v>0</v>
      </c>
      <c r="H116" s="10" t="n">
        <f aca="false">IF(AND(ISNUMBER(G116),ISNUMBER(C116),C116&lt;&gt;0),G116/C116,"")</f>
        <v>0</v>
      </c>
      <c r="I116" s="8" t="n">
        <v>4</v>
      </c>
      <c r="J116" s="10" t="n">
        <f aca="false">IF(AND(ISNUMBER(F116),ISNUMBER(I116),F116&lt;&gt;0),1-(I116/F116),"")</f>
        <v>0.733333333333333</v>
      </c>
    </row>
    <row r="117" customFormat="false" ht="15" hidden="false" customHeight="false" outlineLevel="0" collapsed="false">
      <c r="A117" s="3" t="s">
        <v>159</v>
      </c>
      <c r="B117" s="3" t="s">
        <v>161</v>
      </c>
      <c r="C117" s="4" t="n">
        <v>52</v>
      </c>
      <c r="D117" s="3" t="s">
        <v>13</v>
      </c>
      <c r="E117" s="3" t="s">
        <v>13</v>
      </c>
      <c r="F117" s="4" t="n">
        <v>52</v>
      </c>
      <c r="G117" s="5" t="n">
        <f aca="false">IF(AND(ISNUMBER(F117),ISNUMBER(C117)),F117-C117,"")</f>
        <v>0</v>
      </c>
      <c r="H117" s="6" t="n">
        <f aca="false">IF(AND(ISNUMBER(G117),ISNUMBER(C117),C117&lt;&gt;0),G117/C117,"")</f>
        <v>0</v>
      </c>
      <c r="I117" s="4" t="n">
        <v>16</v>
      </c>
      <c r="J117" s="6" t="n">
        <f aca="false">IF(AND(ISNUMBER(F117),ISNUMBER(I117),F117&lt;&gt;0),1-(I117/F117),"")</f>
        <v>0.692307692307692</v>
      </c>
    </row>
    <row r="118" customFormat="false" ht="15" hidden="false" customHeight="false" outlineLevel="0" collapsed="false">
      <c r="A118" s="7" t="s">
        <v>159</v>
      </c>
      <c r="B118" s="7" t="s">
        <v>162</v>
      </c>
      <c r="C118" s="8" t="n">
        <v>11</v>
      </c>
      <c r="D118" s="7" t="s">
        <v>13</v>
      </c>
      <c r="E118" s="7" t="s">
        <v>13</v>
      </c>
      <c r="F118" s="8" t="n">
        <v>12</v>
      </c>
      <c r="G118" s="9" t="n">
        <f aca="false">IF(AND(ISNUMBER(F118),ISNUMBER(C118)),F118-C118,"")</f>
        <v>1</v>
      </c>
      <c r="H118" s="10" t="n">
        <f aca="false">IF(AND(ISNUMBER(G118),ISNUMBER(C118),C118&lt;&gt;0),G118/C118,"")</f>
        <v>0.0909090909090909</v>
      </c>
      <c r="I118" s="8" t="n">
        <v>3</v>
      </c>
      <c r="J118" s="10" t="n">
        <f aca="false">IF(AND(ISNUMBER(F118),ISNUMBER(I118),F118&lt;&gt;0),1-(I118/F118),"")</f>
        <v>0.75</v>
      </c>
    </row>
    <row r="119" customFormat="false" ht="15" hidden="false" customHeight="false" outlineLevel="0" collapsed="false">
      <c r="A119" s="3" t="s">
        <v>159</v>
      </c>
      <c r="B119" s="3" t="s">
        <v>163</v>
      </c>
      <c r="C119" s="4" t="n">
        <v>36</v>
      </c>
      <c r="D119" s="3" t="s">
        <v>13</v>
      </c>
      <c r="E119" s="3" t="s">
        <v>13</v>
      </c>
      <c r="F119" s="4" t="n">
        <v>38</v>
      </c>
      <c r="G119" s="5" t="n">
        <f aca="false">IF(AND(ISNUMBER(F119),ISNUMBER(C119)),F119-C119,"")</f>
        <v>2</v>
      </c>
      <c r="H119" s="6" t="n">
        <f aca="false">IF(AND(ISNUMBER(G119),ISNUMBER(C119),C119&lt;&gt;0),G119/C119,"")</f>
        <v>0.0555555555555556</v>
      </c>
      <c r="I119" s="4" t="n">
        <v>10</v>
      </c>
      <c r="J119" s="6" t="n">
        <f aca="false">IF(AND(ISNUMBER(F119),ISNUMBER(I119),F119&lt;&gt;0),1-(I119/F119),"")</f>
        <v>0.736842105263158</v>
      </c>
    </row>
    <row r="120" customFormat="false" ht="15" hidden="false" customHeight="false" outlineLevel="0" collapsed="false">
      <c r="A120" s="7" t="s">
        <v>159</v>
      </c>
      <c r="B120" s="7" t="s">
        <v>164</v>
      </c>
      <c r="C120" s="8" t="n">
        <v>14</v>
      </c>
      <c r="D120" s="7" t="s">
        <v>13</v>
      </c>
      <c r="E120" s="7" t="s">
        <v>13</v>
      </c>
      <c r="F120" s="8" t="n">
        <v>14</v>
      </c>
      <c r="G120" s="9" t="n">
        <f aca="false">IF(AND(ISNUMBER(F120),ISNUMBER(C120)),F120-C120,"")</f>
        <v>0</v>
      </c>
      <c r="H120" s="10" t="n">
        <f aca="false">IF(AND(ISNUMBER(G120),ISNUMBER(C120),C120&lt;&gt;0),G120/C120,"")</f>
        <v>0</v>
      </c>
      <c r="I120" s="8" t="n">
        <v>4</v>
      </c>
      <c r="J120" s="10" t="n">
        <f aca="false">IF(AND(ISNUMBER(F120),ISNUMBER(I120),F120&lt;&gt;0),1-(I120/F120),"")</f>
        <v>0.714285714285714</v>
      </c>
    </row>
    <row r="121" customFormat="false" ht="15" hidden="false" customHeight="false" outlineLevel="0" collapsed="false">
      <c r="A121" s="3" t="s">
        <v>159</v>
      </c>
      <c r="B121" s="3" t="s">
        <v>165</v>
      </c>
      <c r="C121" s="4" t="n">
        <v>48</v>
      </c>
      <c r="D121" s="3" t="s">
        <v>13</v>
      </c>
      <c r="E121" s="3" t="s">
        <v>13</v>
      </c>
      <c r="F121" s="4" t="n">
        <v>48</v>
      </c>
      <c r="G121" s="5" t="n">
        <f aca="false">IF(AND(ISNUMBER(F121),ISNUMBER(C121)),F121-C121,"")</f>
        <v>0</v>
      </c>
      <c r="H121" s="6" t="n">
        <f aca="false">IF(AND(ISNUMBER(G121),ISNUMBER(C121),C121&lt;&gt;0),G121/C121,"")</f>
        <v>0</v>
      </c>
      <c r="I121" s="4" t="n">
        <v>14</v>
      </c>
      <c r="J121" s="6" t="n">
        <f aca="false">IF(AND(ISNUMBER(F121),ISNUMBER(I121),F121&lt;&gt;0),1-(I121/F121),"")</f>
        <v>0.708333333333333</v>
      </c>
    </row>
    <row r="122" customFormat="false" ht="15" hidden="false" customHeight="false" outlineLevel="0" collapsed="false">
      <c r="A122" s="7" t="s">
        <v>159</v>
      </c>
      <c r="B122" s="7" t="s">
        <v>166</v>
      </c>
      <c r="C122" s="8" t="n">
        <v>12</v>
      </c>
      <c r="D122" s="7" t="s">
        <v>13</v>
      </c>
      <c r="E122" s="7" t="s">
        <v>13</v>
      </c>
      <c r="F122" s="8" t="n">
        <v>12</v>
      </c>
      <c r="G122" s="9" t="n">
        <f aca="false">IF(AND(ISNUMBER(F122),ISNUMBER(C122)),F122-C122,"")</f>
        <v>0</v>
      </c>
      <c r="H122" s="10" t="n">
        <f aca="false">IF(AND(ISNUMBER(G122),ISNUMBER(C122),C122&lt;&gt;0),G122/C122,"")</f>
        <v>0</v>
      </c>
      <c r="I122" s="8" t="n">
        <v>3.25</v>
      </c>
      <c r="J122" s="10" t="n">
        <f aca="false">IF(AND(ISNUMBER(F122),ISNUMBER(I122),F122&lt;&gt;0),1-(I122/F122),"")</f>
        <v>0.729166666666667</v>
      </c>
    </row>
    <row r="123" customFormat="false" ht="15" hidden="false" customHeight="false" outlineLevel="0" collapsed="false">
      <c r="A123" s="3" t="s">
        <v>159</v>
      </c>
      <c r="B123" s="3" t="s">
        <v>167</v>
      </c>
      <c r="C123" s="4" t="n">
        <v>40</v>
      </c>
      <c r="D123" s="3" t="s">
        <v>13</v>
      </c>
      <c r="E123" s="3" t="s">
        <v>13</v>
      </c>
      <c r="F123" s="4" t="n">
        <v>40</v>
      </c>
      <c r="G123" s="5" t="n">
        <f aca="false">IF(AND(ISNUMBER(F123),ISNUMBER(C123)),F123-C123,"")</f>
        <v>0</v>
      </c>
      <c r="H123" s="6" t="n">
        <f aca="false">IF(AND(ISNUMBER(G123),ISNUMBER(C123),C123&lt;&gt;0),G123/C123,"")</f>
        <v>0</v>
      </c>
      <c r="I123" s="4" t="n">
        <v>11</v>
      </c>
      <c r="J123" s="6" t="n">
        <f aca="false">IF(AND(ISNUMBER(F123),ISNUMBER(I123),F123&lt;&gt;0),1-(I123/F123),"")</f>
        <v>0.725</v>
      </c>
    </row>
    <row r="124" customFormat="false" ht="15" hidden="false" customHeight="false" outlineLevel="0" collapsed="false">
      <c r="A124" s="7" t="s">
        <v>159</v>
      </c>
      <c r="B124" s="7" t="s">
        <v>168</v>
      </c>
      <c r="C124" s="8" t="n">
        <v>16</v>
      </c>
      <c r="D124" s="7" t="s">
        <v>13</v>
      </c>
      <c r="E124" s="7" t="s">
        <v>13</v>
      </c>
      <c r="F124" s="8" t="n">
        <v>16</v>
      </c>
      <c r="G124" s="9" t="n">
        <f aca="false">IF(AND(ISNUMBER(F124),ISNUMBER(C124)),F124-C124,"")</f>
        <v>0</v>
      </c>
      <c r="H124" s="10" t="n">
        <f aca="false">IF(AND(ISNUMBER(G124),ISNUMBER(C124),C124&lt;&gt;0),G124/C124,"")</f>
        <v>0</v>
      </c>
      <c r="I124" s="8" t="n">
        <v>5</v>
      </c>
      <c r="J124" s="10" t="n">
        <f aca="false">IF(AND(ISNUMBER(F124),ISNUMBER(I124),F124&lt;&gt;0),1-(I124/F124),"")</f>
        <v>0.6875</v>
      </c>
    </row>
    <row r="125" customFormat="false" ht="15" hidden="false" customHeight="false" outlineLevel="0" collapsed="false">
      <c r="A125" s="3" t="s">
        <v>159</v>
      </c>
      <c r="B125" s="3" t="s">
        <v>169</v>
      </c>
      <c r="C125" s="4" t="n">
        <v>56</v>
      </c>
      <c r="D125" s="3" t="s">
        <v>13</v>
      </c>
      <c r="E125" s="3" t="s">
        <v>13</v>
      </c>
      <c r="F125" s="4" t="n">
        <v>56</v>
      </c>
      <c r="G125" s="5" t="n">
        <f aca="false">IF(AND(ISNUMBER(F125),ISNUMBER(C125)),F125-C125,"")</f>
        <v>0</v>
      </c>
      <c r="H125" s="6" t="n">
        <f aca="false">IF(AND(ISNUMBER(G125),ISNUMBER(C125),C125&lt;&gt;0),G125/C125,"")</f>
        <v>0</v>
      </c>
      <c r="I125" s="4" t="n">
        <v>18</v>
      </c>
      <c r="J125" s="6" t="n">
        <f aca="false">IF(AND(ISNUMBER(F125),ISNUMBER(I125),F125&lt;&gt;0),1-(I125/F125),"")</f>
        <v>0.678571428571429</v>
      </c>
    </row>
    <row r="126" customFormat="false" ht="15" hidden="false" customHeight="false" outlineLevel="0" collapsed="false">
      <c r="A126" s="7" t="s">
        <v>159</v>
      </c>
      <c r="B126" s="7" t="s">
        <v>170</v>
      </c>
      <c r="C126" s="8" t="n">
        <v>12</v>
      </c>
      <c r="D126" s="7" t="s">
        <v>13</v>
      </c>
      <c r="E126" s="7" t="s">
        <v>13</v>
      </c>
      <c r="F126" s="8" t="n">
        <v>12</v>
      </c>
      <c r="G126" s="9" t="n">
        <f aca="false">IF(AND(ISNUMBER(F126),ISNUMBER(C126)),F126-C126,"")</f>
        <v>0</v>
      </c>
      <c r="H126" s="10" t="n">
        <f aca="false">IF(AND(ISNUMBER(G126),ISNUMBER(C126),C126&lt;&gt;0),G126/C126,"")</f>
        <v>0</v>
      </c>
      <c r="I126" s="8" t="n">
        <v>3</v>
      </c>
      <c r="J126" s="10" t="n">
        <f aca="false">IF(AND(ISNUMBER(F126),ISNUMBER(I126),F126&lt;&gt;0),1-(I126/F126),"")</f>
        <v>0.75</v>
      </c>
    </row>
    <row r="127" customFormat="false" ht="15" hidden="false" customHeight="false" outlineLevel="0" collapsed="false">
      <c r="A127" s="3" t="s">
        <v>159</v>
      </c>
      <c r="B127" s="3" t="s">
        <v>171</v>
      </c>
      <c r="C127" s="4" t="n">
        <v>40</v>
      </c>
      <c r="D127" s="3" t="s">
        <v>13</v>
      </c>
      <c r="E127" s="3" t="s">
        <v>13</v>
      </c>
      <c r="F127" s="4" t="n">
        <v>40</v>
      </c>
      <c r="G127" s="5" t="n">
        <f aca="false">IF(AND(ISNUMBER(F127),ISNUMBER(C127)),F127-C127,"")</f>
        <v>0</v>
      </c>
      <c r="H127" s="6" t="n">
        <f aca="false">IF(AND(ISNUMBER(G127),ISNUMBER(C127),C127&lt;&gt;0),G127/C127,"")</f>
        <v>0</v>
      </c>
      <c r="I127" s="4" t="n">
        <v>10</v>
      </c>
      <c r="J127" s="6" t="n">
        <f aca="false">IF(AND(ISNUMBER(F127),ISNUMBER(I127),F127&lt;&gt;0),1-(I127/F127),"")</f>
        <v>0.75</v>
      </c>
    </row>
    <row r="128" customFormat="false" ht="15" hidden="false" customHeight="false" outlineLevel="0" collapsed="false">
      <c r="A128" s="7" t="s">
        <v>172</v>
      </c>
      <c r="B128" s="7" t="s">
        <v>173</v>
      </c>
      <c r="C128" s="8" t="n">
        <v>15</v>
      </c>
      <c r="D128" s="7" t="s">
        <v>13</v>
      </c>
      <c r="E128" s="7" t="s">
        <v>13</v>
      </c>
      <c r="F128" s="8" t="n">
        <v>15</v>
      </c>
      <c r="G128" s="9" t="n">
        <f aca="false">IF(AND(ISNUMBER(F128),ISNUMBER(C128)),F128-C128,"")</f>
        <v>0</v>
      </c>
      <c r="H128" s="10" t="n">
        <f aca="false">IF(AND(ISNUMBER(G128),ISNUMBER(C128),C128&lt;&gt;0),G128/C128,"")</f>
        <v>0</v>
      </c>
      <c r="I128" s="8" t="n">
        <v>4.5</v>
      </c>
      <c r="J128" s="10" t="n">
        <f aca="false">IF(AND(ISNUMBER(F128),ISNUMBER(I128),F128&lt;&gt;0),1-(I128/F128),"")</f>
        <v>0.7</v>
      </c>
    </row>
    <row r="129" customFormat="false" ht="15" hidden="false" customHeight="false" outlineLevel="0" collapsed="false">
      <c r="A129" s="3" t="s">
        <v>172</v>
      </c>
      <c r="B129" s="3" t="s">
        <v>174</v>
      </c>
      <c r="C129" s="4" t="n">
        <v>52</v>
      </c>
      <c r="D129" s="3" t="s">
        <v>13</v>
      </c>
      <c r="E129" s="3" t="s">
        <v>13</v>
      </c>
      <c r="F129" s="4" t="n">
        <v>52</v>
      </c>
      <c r="G129" s="5" t="n">
        <f aca="false">IF(AND(ISNUMBER(F129),ISNUMBER(C129)),F129-C129,"")</f>
        <v>0</v>
      </c>
      <c r="H129" s="6" t="n">
        <f aca="false">IF(AND(ISNUMBER(G129),ISNUMBER(C129),C129&lt;&gt;0),G129/C129,"")</f>
        <v>0</v>
      </c>
      <c r="I129" s="4" t="n">
        <v>16</v>
      </c>
      <c r="J129" s="6" t="n">
        <f aca="false">IF(AND(ISNUMBER(F129),ISNUMBER(I129),F129&lt;&gt;0),1-(I129/F129),"")</f>
        <v>0.692307692307692</v>
      </c>
    </row>
    <row r="130" customFormat="false" ht="15" hidden="false" customHeight="false" outlineLevel="0" collapsed="false">
      <c r="A130" s="7" t="s">
        <v>172</v>
      </c>
      <c r="B130" s="7" t="s">
        <v>175</v>
      </c>
      <c r="C130" s="8" t="n">
        <v>11</v>
      </c>
      <c r="D130" s="7" t="s">
        <v>13</v>
      </c>
      <c r="E130" s="7" t="s">
        <v>13</v>
      </c>
      <c r="F130" s="8" t="n">
        <v>12</v>
      </c>
      <c r="G130" s="9" t="n">
        <f aca="false">IF(AND(ISNUMBER(F130),ISNUMBER(C130)),F130-C130,"")</f>
        <v>1</v>
      </c>
      <c r="H130" s="10" t="n">
        <f aca="false">IF(AND(ISNUMBER(G130),ISNUMBER(C130),C130&lt;&gt;0),G130/C130,"")</f>
        <v>0.0909090909090909</v>
      </c>
      <c r="I130" s="8" t="n">
        <v>3</v>
      </c>
      <c r="J130" s="10" t="n">
        <f aca="false">IF(AND(ISNUMBER(F130),ISNUMBER(I130),F130&lt;&gt;0),1-(I130/F130),"")</f>
        <v>0.75</v>
      </c>
    </row>
    <row r="131" customFormat="false" ht="15" hidden="false" customHeight="false" outlineLevel="0" collapsed="false">
      <c r="A131" s="3" t="s">
        <v>172</v>
      </c>
      <c r="B131" s="3" t="s">
        <v>176</v>
      </c>
      <c r="C131" s="4" t="n">
        <v>36</v>
      </c>
      <c r="D131" s="3" t="s">
        <v>13</v>
      </c>
      <c r="E131" s="3" t="s">
        <v>13</v>
      </c>
      <c r="F131" s="4" t="n">
        <v>38</v>
      </c>
      <c r="G131" s="5" t="n">
        <f aca="false">IF(AND(ISNUMBER(F131),ISNUMBER(C131)),F131-C131,"")</f>
        <v>2</v>
      </c>
      <c r="H131" s="6" t="n">
        <f aca="false">IF(AND(ISNUMBER(G131),ISNUMBER(C131),C131&lt;&gt;0),G131/C131,"")</f>
        <v>0.0555555555555556</v>
      </c>
      <c r="I131" s="4" t="n">
        <v>10</v>
      </c>
      <c r="J131" s="6" t="n">
        <f aca="false">IF(AND(ISNUMBER(F131),ISNUMBER(I131),F131&lt;&gt;0),1-(I131/F131),"")</f>
        <v>0.736842105263158</v>
      </c>
    </row>
    <row r="132" customFormat="false" ht="15" hidden="false" customHeight="false" outlineLevel="0" collapsed="false">
      <c r="A132" s="7" t="s">
        <v>172</v>
      </c>
      <c r="B132" s="7" t="s">
        <v>177</v>
      </c>
      <c r="C132" s="8" t="n">
        <v>12</v>
      </c>
      <c r="D132" s="7" t="s">
        <v>13</v>
      </c>
      <c r="E132" s="7" t="s">
        <v>13</v>
      </c>
      <c r="F132" s="8" t="n">
        <v>12</v>
      </c>
      <c r="G132" s="9" t="n">
        <f aca="false">IF(AND(ISNUMBER(F132),ISNUMBER(C132)),F132-C132,"")</f>
        <v>0</v>
      </c>
      <c r="H132" s="10" t="n">
        <f aca="false">IF(AND(ISNUMBER(G132),ISNUMBER(C132),C132&lt;&gt;0),G132/C132,"")</f>
        <v>0</v>
      </c>
      <c r="I132" s="8" t="n">
        <v>3.25</v>
      </c>
      <c r="J132" s="10" t="n">
        <f aca="false">IF(AND(ISNUMBER(F132),ISNUMBER(I132),F132&lt;&gt;0),1-(I132/F132),"")</f>
        <v>0.729166666666667</v>
      </c>
    </row>
    <row r="133" customFormat="false" ht="15" hidden="false" customHeight="false" outlineLevel="0" collapsed="false">
      <c r="A133" s="3" t="s">
        <v>172</v>
      </c>
      <c r="B133" s="3" t="s">
        <v>178</v>
      </c>
      <c r="C133" s="4" t="n">
        <v>40</v>
      </c>
      <c r="D133" s="3" t="s">
        <v>13</v>
      </c>
      <c r="E133" s="3" t="s">
        <v>13</v>
      </c>
      <c r="F133" s="4" t="n">
        <v>40</v>
      </c>
      <c r="G133" s="5" t="n">
        <f aca="false">IF(AND(ISNUMBER(F133),ISNUMBER(C133)),F133-C133,"")</f>
        <v>0</v>
      </c>
      <c r="H133" s="6" t="n">
        <f aca="false">IF(AND(ISNUMBER(G133),ISNUMBER(C133),C133&lt;&gt;0),G133/C133,"")</f>
        <v>0</v>
      </c>
      <c r="I133" s="4" t="n">
        <v>11</v>
      </c>
      <c r="J133" s="6" t="n">
        <f aca="false">IF(AND(ISNUMBER(F133),ISNUMBER(I133),F133&lt;&gt;0),1-(I133/F133),"")</f>
        <v>0.725</v>
      </c>
    </row>
    <row r="134" customFormat="false" ht="15" hidden="false" customHeight="false" outlineLevel="0" collapsed="false">
      <c r="A134" s="7" t="s">
        <v>172</v>
      </c>
      <c r="B134" s="7" t="s">
        <v>179</v>
      </c>
      <c r="C134" s="8" t="n">
        <v>12</v>
      </c>
      <c r="D134" s="7" t="s">
        <v>13</v>
      </c>
      <c r="E134" s="7" t="s">
        <v>13</v>
      </c>
      <c r="F134" s="8" t="n">
        <v>12</v>
      </c>
      <c r="G134" s="9" t="n">
        <f aca="false">IF(AND(ISNUMBER(F134),ISNUMBER(C134)),F134-C134,"")</f>
        <v>0</v>
      </c>
      <c r="H134" s="10" t="n">
        <f aca="false">IF(AND(ISNUMBER(G134),ISNUMBER(C134),C134&lt;&gt;0),G134/C134,"")</f>
        <v>0</v>
      </c>
      <c r="I134" s="8" t="n">
        <v>3.25</v>
      </c>
      <c r="J134" s="10" t="n">
        <f aca="false">IF(AND(ISNUMBER(F134),ISNUMBER(I134),F134&lt;&gt;0),1-(I134/F134),"")</f>
        <v>0.729166666666667</v>
      </c>
    </row>
    <row r="135" customFormat="false" ht="15" hidden="false" customHeight="false" outlineLevel="0" collapsed="false">
      <c r="A135" s="3" t="s">
        <v>172</v>
      </c>
      <c r="B135" s="3" t="s">
        <v>180</v>
      </c>
      <c r="C135" s="4" t="n">
        <v>40</v>
      </c>
      <c r="D135" s="3" t="s">
        <v>13</v>
      </c>
      <c r="E135" s="3" t="s">
        <v>13</v>
      </c>
      <c r="F135" s="4" t="n">
        <v>40</v>
      </c>
      <c r="G135" s="5" t="n">
        <f aca="false">IF(AND(ISNUMBER(F135),ISNUMBER(C135)),F135-C135,"")</f>
        <v>0</v>
      </c>
      <c r="H135" s="6" t="n">
        <f aca="false">IF(AND(ISNUMBER(G135),ISNUMBER(C135),C135&lt;&gt;0),G135/C135,"")</f>
        <v>0</v>
      </c>
      <c r="I135" s="4" t="n">
        <v>11</v>
      </c>
      <c r="J135" s="6" t="n">
        <f aca="false">IF(AND(ISNUMBER(F135),ISNUMBER(I135),F135&lt;&gt;0),1-(I135/F135),"")</f>
        <v>0.725</v>
      </c>
    </row>
    <row r="136" customFormat="false" ht="15" hidden="false" customHeight="false" outlineLevel="0" collapsed="false">
      <c r="A136" s="7" t="s">
        <v>172</v>
      </c>
      <c r="B136" s="7" t="s">
        <v>181</v>
      </c>
      <c r="C136" s="8" t="n">
        <v>11</v>
      </c>
      <c r="D136" s="7" t="s">
        <v>13</v>
      </c>
      <c r="E136" s="7" t="s">
        <v>13</v>
      </c>
      <c r="F136" s="8" t="n">
        <v>11</v>
      </c>
      <c r="G136" s="9" t="n">
        <f aca="false">IF(AND(ISNUMBER(F136),ISNUMBER(C136)),F136-C136,"")</f>
        <v>0</v>
      </c>
      <c r="H136" s="10" t="n">
        <f aca="false">IF(AND(ISNUMBER(G136),ISNUMBER(C136),C136&lt;&gt;0),G136/C136,"")</f>
        <v>0</v>
      </c>
      <c r="I136" s="8" t="n">
        <v>3</v>
      </c>
      <c r="J136" s="10" t="n">
        <f aca="false">IF(AND(ISNUMBER(F136),ISNUMBER(I136),F136&lt;&gt;0),1-(I136/F136),"")</f>
        <v>0.727272727272727</v>
      </c>
    </row>
    <row r="137" customFormat="false" ht="15" hidden="false" customHeight="false" outlineLevel="0" collapsed="false">
      <c r="A137" s="3" t="s">
        <v>172</v>
      </c>
      <c r="B137" s="3" t="s">
        <v>182</v>
      </c>
      <c r="C137" s="4" t="n">
        <v>36</v>
      </c>
      <c r="D137" s="3" t="s">
        <v>13</v>
      </c>
      <c r="E137" s="3" t="s">
        <v>13</v>
      </c>
      <c r="F137" s="4" t="n">
        <v>36</v>
      </c>
      <c r="G137" s="5" t="n">
        <f aca="false">IF(AND(ISNUMBER(F137),ISNUMBER(C137)),F137-C137,"")</f>
        <v>0</v>
      </c>
      <c r="H137" s="6" t="n">
        <f aca="false">IF(AND(ISNUMBER(G137),ISNUMBER(C137),C137&lt;&gt;0),G137/C137,"")</f>
        <v>0</v>
      </c>
      <c r="I137" s="4" t="n">
        <v>10</v>
      </c>
      <c r="J137" s="6" t="n">
        <f aca="false">IF(AND(ISNUMBER(F137),ISNUMBER(I137),F137&lt;&gt;0),1-(I137/F137),"")</f>
        <v>0.722222222222222</v>
      </c>
    </row>
    <row r="138" customFormat="false" ht="15" hidden="false" customHeight="false" outlineLevel="0" collapsed="false">
      <c r="A138" s="7" t="s">
        <v>172</v>
      </c>
      <c r="B138" s="7" t="s">
        <v>183</v>
      </c>
      <c r="C138" s="8" t="n">
        <v>10</v>
      </c>
      <c r="D138" s="7" t="s">
        <v>13</v>
      </c>
      <c r="E138" s="7" t="s">
        <v>13</v>
      </c>
      <c r="F138" s="8" t="n">
        <v>10</v>
      </c>
      <c r="G138" s="9" t="n">
        <f aca="false">IF(AND(ISNUMBER(F138),ISNUMBER(C138)),F138-C138,"")</f>
        <v>0</v>
      </c>
      <c r="H138" s="10" t="n">
        <f aca="false">IF(AND(ISNUMBER(G138),ISNUMBER(C138),C138&lt;&gt;0),G138/C138,"")</f>
        <v>0</v>
      </c>
      <c r="I138" s="8" t="n">
        <v>2.5</v>
      </c>
      <c r="J138" s="10" t="n">
        <f aca="false">IF(AND(ISNUMBER(F138),ISNUMBER(I138),F138&lt;&gt;0),1-(I138/F138),"")</f>
        <v>0.75</v>
      </c>
    </row>
    <row r="139" customFormat="false" ht="15" hidden="false" customHeight="false" outlineLevel="0" collapsed="false">
      <c r="A139" s="3" t="s">
        <v>172</v>
      </c>
      <c r="B139" s="3" t="s">
        <v>184</v>
      </c>
      <c r="C139" s="4" t="n">
        <v>32</v>
      </c>
      <c r="D139" s="3" t="s">
        <v>13</v>
      </c>
      <c r="E139" s="3" t="s">
        <v>13</v>
      </c>
      <c r="F139" s="4" t="n">
        <v>32</v>
      </c>
      <c r="G139" s="5" t="n">
        <f aca="false">IF(AND(ISNUMBER(F139),ISNUMBER(C139)),F139-C139,"")</f>
        <v>0</v>
      </c>
      <c r="H139" s="6" t="n">
        <f aca="false">IF(AND(ISNUMBER(G139),ISNUMBER(C139),C139&lt;&gt;0),G139/C139,"")</f>
        <v>0</v>
      </c>
      <c r="I139" s="4" t="n">
        <v>9</v>
      </c>
      <c r="J139" s="6" t="n">
        <f aca="false">IF(AND(ISNUMBER(F139),ISNUMBER(I139),F139&lt;&gt;0),1-(I139/F139),"")</f>
        <v>0.71875</v>
      </c>
    </row>
    <row r="140" customFormat="false" ht="15" hidden="false" customHeight="false" outlineLevel="0" collapsed="false">
      <c r="A140" s="2" t="s">
        <v>185</v>
      </c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" hidden="false" customHeight="false" outlineLevel="0" collapsed="false">
      <c r="A141" s="3" t="s">
        <v>186</v>
      </c>
      <c r="B141" s="3" t="s">
        <v>187</v>
      </c>
      <c r="C141" s="4" t="n">
        <v>4</v>
      </c>
      <c r="D141" s="3" t="s">
        <v>13</v>
      </c>
      <c r="E141" s="3" t="s">
        <v>13</v>
      </c>
      <c r="F141" s="4" t="n">
        <v>4</v>
      </c>
      <c r="G141" s="5" t="n">
        <f aca="false">IF(AND(ISNUMBER(F141),ISNUMBER(C141)),F141-C141,"")</f>
        <v>0</v>
      </c>
      <c r="H141" s="6" t="n">
        <f aca="false">IF(AND(ISNUMBER(G141),ISNUMBER(C141),C141&lt;&gt;0),G141/C141,"")</f>
        <v>0</v>
      </c>
      <c r="I141" s="4" t="n">
        <v>0.35</v>
      </c>
      <c r="J141" s="6" t="n">
        <f aca="false">IF(AND(ISNUMBER(F141),ISNUMBER(I141),F141&lt;&gt;0),1-(I141/F141),"")</f>
        <v>0.9125</v>
      </c>
    </row>
    <row r="142" customFormat="false" ht="15" hidden="false" customHeight="false" outlineLevel="0" collapsed="false">
      <c r="A142" s="7" t="s">
        <v>186</v>
      </c>
      <c r="B142" s="7" t="s">
        <v>188</v>
      </c>
      <c r="C142" s="8" t="n">
        <v>4</v>
      </c>
      <c r="D142" s="7" t="s">
        <v>13</v>
      </c>
      <c r="E142" s="7" t="s">
        <v>13</v>
      </c>
      <c r="F142" s="8" t="n">
        <v>4</v>
      </c>
      <c r="G142" s="9" t="n">
        <f aca="false">IF(AND(ISNUMBER(F142),ISNUMBER(C142)),F142-C142,"")</f>
        <v>0</v>
      </c>
      <c r="H142" s="10" t="n">
        <f aca="false">IF(AND(ISNUMBER(G142),ISNUMBER(C142),C142&lt;&gt;0),G142/C142,"")</f>
        <v>0</v>
      </c>
      <c r="I142" s="8" t="n">
        <v>0.5</v>
      </c>
      <c r="J142" s="10" t="n">
        <f aca="false">IF(AND(ISNUMBER(F142),ISNUMBER(I142),F142&lt;&gt;0),1-(I142/F142),"")</f>
        <v>0.875</v>
      </c>
    </row>
    <row r="143" customFormat="false" ht="15" hidden="false" customHeight="false" outlineLevel="0" collapsed="false">
      <c r="A143" s="3" t="s">
        <v>186</v>
      </c>
      <c r="B143" s="3" t="s">
        <v>189</v>
      </c>
      <c r="C143" s="4" t="n">
        <v>4</v>
      </c>
      <c r="D143" s="3" t="s">
        <v>13</v>
      </c>
      <c r="E143" s="3" t="s">
        <v>13</v>
      </c>
      <c r="F143" s="4" t="n">
        <v>4</v>
      </c>
      <c r="G143" s="5" t="n">
        <f aca="false">IF(AND(ISNUMBER(F143),ISNUMBER(C143)),F143-C143,"")</f>
        <v>0</v>
      </c>
      <c r="H143" s="6" t="n">
        <f aca="false">IF(AND(ISNUMBER(G143),ISNUMBER(C143),C143&lt;&gt;0),G143/C143,"")</f>
        <v>0</v>
      </c>
      <c r="I143" s="4" t="n">
        <v>0.4</v>
      </c>
      <c r="J143" s="6" t="n">
        <f aca="false">IF(AND(ISNUMBER(F143),ISNUMBER(I143),F143&lt;&gt;0),1-(I143/F143),"")</f>
        <v>0.9</v>
      </c>
    </row>
    <row r="144" customFormat="false" ht="15" hidden="false" customHeight="false" outlineLevel="0" collapsed="false">
      <c r="A144" s="7" t="s">
        <v>186</v>
      </c>
      <c r="B144" s="7" t="s">
        <v>190</v>
      </c>
      <c r="C144" s="8" t="n">
        <v>25</v>
      </c>
      <c r="D144" s="7" t="s">
        <v>13</v>
      </c>
      <c r="E144" s="7" t="s">
        <v>13</v>
      </c>
      <c r="F144" s="8" t="n">
        <v>28</v>
      </c>
      <c r="G144" s="9" t="n">
        <f aca="false">IF(AND(ISNUMBER(F144),ISNUMBER(C144)),F144-C144,"")</f>
        <v>3</v>
      </c>
      <c r="H144" s="10" t="n">
        <f aca="false">IF(AND(ISNUMBER(G144),ISNUMBER(C144),C144&lt;&gt;0),G144/C144,"")</f>
        <v>0.12</v>
      </c>
      <c r="I144" s="8" t="n">
        <v>8</v>
      </c>
      <c r="J144" s="10" t="n">
        <f aca="false">IF(AND(ISNUMBER(F144),ISNUMBER(I144),F144&lt;&gt;0),1-(I144/F144),"")</f>
        <v>0.714285714285714</v>
      </c>
    </row>
    <row r="145" customFormat="false" ht="15" hidden="false" customHeight="false" outlineLevel="0" collapsed="false">
      <c r="A145" s="3" t="s">
        <v>191</v>
      </c>
      <c r="B145" s="3" t="s">
        <v>192</v>
      </c>
      <c r="C145" s="4" t="n">
        <v>10</v>
      </c>
      <c r="D145" s="3" t="s">
        <v>13</v>
      </c>
      <c r="E145" s="3" t="s">
        <v>13</v>
      </c>
      <c r="F145" s="4" t="n">
        <v>11</v>
      </c>
      <c r="G145" s="5" t="n">
        <f aca="false">IF(AND(ISNUMBER(F145),ISNUMBER(C145)),F145-C145,"")</f>
        <v>1</v>
      </c>
      <c r="H145" s="6" t="n">
        <f aca="false">IF(AND(ISNUMBER(G145),ISNUMBER(C145),C145&lt;&gt;0),G145/C145,"")</f>
        <v>0.1</v>
      </c>
      <c r="I145" s="4" t="n">
        <v>2.5</v>
      </c>
      <c r="J145" s="6" t="n">
        <f aca="false">IF(AND(ISNUMBER(F145),ISNUMBER(I145),F145&lt;&gt;0),1-(I145/F145),"")</f>
        <v>0.772727272727273</v>
      </c>
    </row>
    <row r="146" customFormat="false" ht="15" hidden="false" customHeight="false" outlineLevel="0" collapsed="false">
      <c r="A146" s="7" t="s">
        <v>191</v>
      </c>
      <c r="B146" s="7" t="s">
        <v>156</v>
      </c>
      <c r="C146" s="8" t="n">
        <v>12</v>
      </c>
      <c r="D146" s="7" t="s">
        <v>13</v>
      </c>
      <c r="E146" s="7" t="s">
        <v>13</v>
      </c>
      <c r="F146" s="8" t="n">
        <v>13</v>
      </c>
      <c r="G146" s="9" t="n">
        <f aca="false">IF(AND(ISNUMBER(F146),ISNUMBER(C146)),F146-C146,"")</f>
        <v>1</v>
      </c>
      <c r="H146" s="10" t="n">
        <f aca="false">IF(AND(ISNUMBER(G146),ISNUMBER(C146),C146&lt;&gt;0),G146/C146,"")</f>
        <v>0.0833333333333333</v>
      </c>
      <c r="I146" s="8" t="n">
        <v>2.75</v>
      </c>
      <c r="J146" s="10" t="n">
        <f aca="false">IF(AND(ISNUMBER(F146),ISNUMBER(I146),F146&lt;&gt;0),1-(I146/F146),"")</f>
        <v>0.788461538461538</v>
      </c>
    </row>
    <row r="147" customFormat="false" ht="15" hidden="false" customHeight="false" outlineLevel="0" collapsed="false">
      <c r="A147" s="3" t="s">
        <v>191</v>
      </c>
      <c r="B147" s="3" t="s">
        <v>193</v>
      </c>
      <c r="C147" s="4" t="n">
        <v>13</v>
      </c>
      <c r="D147" s="3" t="s">
        <v>13</v>
      </c>
      <c r="E147" s="3" t="s">
        <v>13</v>
      </c>
      <c r="F147" s="4" t="n">
        <v>14</v>
      </c>
      <c r="G147" s="5" t="n">
        <f aca="false">IF(AND(ISNUMBER(F147),ISNUMBER(C147)),F147-C147,"")</f>
        <v>1</v>
      </c>
      <c r="H147" s="6" t="n">
        <f aca="false">IF(AND(ISNUMBER(G147),ISNUMBER(C147),C147&lt;&gt;0),G147/C147,"")</f>
        <v>0.0769230769230769</v>
      </c>
      <c r="I147" s="4" t="n">
        <v>2.75</v>
      </c>
      <c r="J147" s="6" t="n">
        <f aca="false">IF(AND(ISNUMBER(F147),ISNUMBER(I147),F147&lt;&gt;0),1-(I147/F147),"")</f>
        <v>0.803571428571429</v>
      </c>
    </row>
    <row r="148" customFormat="false" ht="15" hidden="false" customHeight="false" outlineLevel="0" collapsed="false">
      <c r="A148" s="7" t="s">
        <v>191</v>
      </c>
      <c r="B148" s="7" t="s">
        <v>194</v>
      </c>
      <c r="C148" s="8" t="n">
        <v>10</v>
      </c>
      <c r="D148" s="7" t="s">
        <v>13</v>
      </c>
      <c r="E148" s="7" t="s">
        <v>13</v>
      </c>
      <c r="F148" s="8" t="n">
        <v>11</v>
      </c>
      <c r="G148" s="9" t="n">
        <f aca="false">IF(AND(ISNUMBER(F148),ISNUMBER(C148)),F148-C148,"")</f>
        <v>1</v>
      </c>
      <c r="H148" s="10" t="n">
        <f aca="false">IF(AND(ISNUMBER(G148),ISNUMBER(C148),C148&lt;&gt;0),G148/C148,"")</f>
        <v>0.1</v>
      </c>
      <c r="I148" s="8" t="n">
        <v>2.5</v>
      </c>
      <c r="J148" s="10" t="n">
        <f aca="false">IF(AND(ISNUMBER(F148),ISNUMBER(I148),F148&lt;&gt;0),1-(I148/F148),"")</f>
        <v>0.772727272727273</v>
      </c>
    </row>
  </sheetData>
  <autoFilter ref="A1:J1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E3A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5</v>
      </c>
      <c r="G1" s="1" t="s">
        <v>200</v>
      </c>
      <c r="H1" s="1" t="s">
        <v>201</v>
      </c>
    </row>
    <row r="2" customFormat="false" ht="15" hidden="false" customHeight="false" outlineLevel="0" collapsed="false">
      <c r="A2" s="7" t="s">
        <v>202</v>
      </c>
      <c r="B2" s="7" t="s">
        <v>203</v>
      </c>
      <c r="C2" s="7" t="s">
        <v>204</v>
      </c>
      <c r="D2" s="8" t="n">
        <v>5</v>
      </c>
      <c r="E2" s="7" t="s">
        <v>205</v>
      </c>
      <c r="F2" s="8" t="n">
        <v>6</v>
      </c>
      <c r="G2" s="8" t="n">
        <v>2.5</v>
      </c>
      <c r="H2" s="10" t="n">
        <f aca="false">IF(AND(ISNUMBER(F2),ISNUMBER(G2),F2&lt;&gt;0),1-(G2/F2),"")</f>
        <v>0.583333333333333</v>
      </c>
    </row>
    <row r="3" customFormat="false" ht="15" hidden="false" customHeight="false" outlineLevel="0" collapsed="false">
      <c r="A3" s="3" t="s">
        <v>206</v>
      </c>
      <c r="B3" s="3" t="s">
        <v>207</v>
      </c>
      <c r="C3" s="3" t="s">
        <v>208</v>
      </c>
      <c r="D3" s="4" t="n">
        <v>5</v>
      </c>
      <c r="E3" s="3" t="s">
        <v>209</v>
      </c>
      <c r="F3" s="4" t="n">
        <v>6</v>
      </c>
      <c r="G3" s="4" t="n">
        <v>1.75</v>
      </c>
      <c r="H3" s="6" t="n">
        <f aca="false">IF(AND(ISNUMBER(F3),ISNUMBER(G3),F3&lt;&gt;0),1-(G3/F3),"")</f>
        <v>0.708333333333333</v>
      </c>
    </row>
    <row r="4" customFormat="false" ht="15" hidden="false" customHeight="false" outlineLevel="0" collapsed="false">
      <c r="A4" s="7" t="s">
        <v>210</v>
      </c>
      <c r="B4" s="7" t="s">
        <v>211</v>
      </c>
      <c r="C4" s="7" t="s">
        <v>212</v>
      </c>
      <c r="D4" s="8" t="n">
        <v>4</v>
      </c>
      <c r="E4" s="7" t="s">
        <v>213</v>
      </c>
      <c r="F4" s="8" t="n">
        <v>5</v>
      </c>
      <c r="G4" s="8" t="n">
        <v>1.75</v>
      </c>
      <c r="H4" s="10" t="n">
        <f aca="false">IF(AND(ISNUMBER(F4),ISNUMBER(G4),F4&lt;&gt;0),1-(G4/F4),"")</f>
        <v>0.65</v>
      </c>
    </row>
    <row r="5" customFormat="false" ht="15" hidden="false" customHeight="false" outlineLevel="0" collapsed="false">
      <c r="A5" s="3" t="s">
        <v>214</v>
      </c>
      <c r="B5" s="3" t="s">
        <v>215</v>
      </c>
      <c r="C5" s="3" t="s">
        <v>216</v>
      </c>
      <c r="D5" s="4" t="n">
        <v>3</v>
      </c>
      <c r="E5" s="3" t="s">
        <v>217</v>
      </c>
      <c r="F5" s="4" t="n">
        <v>4</v>
      </c>
      <c r="G5" s="4" t="n">
        <v>1.5</v>
      </c>
      <c r="H5" s="6" t="n">
        <f aca="false">IF(AND(ISNUMBER(F5),ISNUMBER(G5),F5&lt;&gt;0),1-(G5/F5),"")</f>
        <v>0.625</v>
      </c>
    </row>
    <row r="6" customFormat="false" ht="15" hidden="false" customHeight="false" outlineLevel="0" collapsed="false">
      <c r="A6" s="7" t="s">
        <v>218</v>
      </c>
      <c r="B6" s="7" t="s">
        <v>219</v>
      </c>
      <c r="C6" s="7" t="s">
        <v>220</v>
      </c>
      <c r="D6" s="8" t="n">
        <v>13</v>
      </c>
      <c r="E6" s="7" t="s">
        <v>221</v>
      </c>
      <c r="F6" s="8" t="n">
        <v>15</v>
      </c>
      <c r="G6" s="8" t="n">
        <v>5.75</v>
      </c>
      <c r="H6" s="10" t="n">
        <f aca="false">IF(AND(ISNUMBER(F6),ISNUMBER(G6),F6&lt;&gt;0),1-(G6/F6),"")</f>
        <v>0.616666666666667</v>
      </c>
    </row>
    <row r="7" customFormat="false" ht="15" hidden="false" customHeight="false" outlineLevel="0" collapsed="false">
      <c r="A7" s="3" t="s">
        <v>222</v>
      </c>
      <c r="B7" s="3" t="s">
        <v>223</v>
      </c>
      <c r="C7" s="3" t="s">
        <v>224</v>
      </c>
      <c r="D7" s="4" t="n">
        <v>11</v>
      </c>
      <c r="E7" s="3" t="s">
        <v>225</v>
      </c>
      <c r="F7" s="4" t="n">
        <v>13</v>
      </c>
      <c r="G7" s="4" t="n">
        <v>4.75</v>
      </c>
      <c r="H7" s="6" t="n">
        <f aca="false">IF(AND(ISNUMBER(F7),ISNUMBER(G7),F7&lt;&gt;0),1-(G7/F7),"")</f>
        <v>0.634615384615385</v>
      </c>
    </row>
    <row r="8" customFormat="false" ht="15" hidden="false" customHeight="false" outlineLevel="0" collapsed="false">
      <c r="A8" s="7" t="s">
        <v>226</v>
      </c>
      <c r="B8" s="7" t="s">
        <v>227</v>
      </c>
      <c r="C8" s="7" t="s">
        <v>228</v>
      </c>
      <c r="D8" s="7"/>
      <c r="E8" s="7" t="s">
        <v>229</v>
      </c>
      <c r="F8" s="7"/>
      <c r="G8" s="7"/>
      <c r="H8" s="10" t="str">
        <f aca="false">IF(AND(ISNUMBER(F8),ISNUMBER(G8),F8&lt;&gt;0),1-(G8/F8),"")</f>
        <v/>
      </c>
    </row>
    <row r="9" customFormat="false" ht="15" hidden="false" customHeight="false" outlineLevel="0" collapsed="false">
      <c r="A9" s="3" t="s">
        <v>230</v>
      </c>
      <c r="B9" s="3" t="s">
        <v>231</v>
      </c>
      <c r="C9" s="3" t="s">
        <v>232</v>
      </c>
      <c r="D9" s="3"/>
      <c r="E9" s="3" t="s">
        <v>233</v>
      </c>
      <c r="F9" s="3"/>
      <c r="G9" s="3"/>
      <c r="H9" s="6" t="str">
        <f aca="false">IF(AND(ISNUMBER(F9),ISNUMBER(G9),F9&lt;&gt;0),1-(G9/F9),"")</f>
        <v/>
      </c>
    </row>
    <row r="10" customFormat="false" ht="15" hidden="false" customHeight="false" outlineLevel="0" collapsed="false">
      <c r="A10" s="7" t="s">
        <v>234</v>
      </c>
      <c r="B10" s="7" t="s">
        <v>235</v>
      </c>
      <c r="C10" s="7" t="s">
        <v>236</v>
      </c>
      <c r="D10" s="7"/>
      <c r="E10" s="7" t="s">
        <v>237</v>
      </c>
      <c r="F10" s="7"/>
      <c r="G10" s="7"/>
      <c r="H10" s="10" t="str">
        <f aca="false">IF(AND(ISNUMBER(F10),ISNUMBER(G10),F10&lt;&gt;0),1-(G10/F10),"")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1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36"/>
  </cols>
  <sheetData>
    <row r="1" customFormat="false" ht="26.85" hidden="false" customHeight="false" outlineLevel="0" collapsed="false">
      <c r="A1" s="1" t="s">
        <v>0</v>
      </c>
      <c r="B1" s="1" t="s">
        <v>238</v>
      </c>
      <c r="C1" s="1" t="s">
        <v>5</v>
      </c>
      <c r="D1" s="1" t="s">
        <v>8</v>
      </c>
      <c r="E1" s="1" t="s">
        <v>9</v>
      </c>
      <c r="F1" s="1" t="s">
        <v>239</v>
      </c>
      <c r="G1" s="1" t="s">
        <v>240</v>
      </c>
      <c r="H1" s="1" t="s">
        <v>241</v>
      </c>
    </row>
    <row r="2" customFormat="false" ht="15" hidden="false" customHeight="false" outlineLevel="0" collapsed="false">
      <c r="A2" s="7" t="s">
        <v>61</v>
      </c>
      <c r="B2" s="7" t="s">
        <v>242</v>
      </c>
      <c r="C2" s="8" t="n">
        <v>18</v>
      </c>
      <c r="D2" s="8" t="n">
        <v>5.5</v>
      </c>
      <c r="E2" s="10" t="n">
        <f aca="false">IF(AND(ISNUMBER(C2),ISNUMBER(D2),C2&lt;&gt;0),1-(D2/C2),"")</f>
        <v>0.694444444444444</v>
      </c>
      <c r="F2" s="7" t="s">
        <v>243</v>
      </c>
      <c r="G2" s="7" t="s">
        <v>244</v>
      </c>
      <c r="H2" s="7" t="s">
        <v>245</v>
      </c>
    </row>
    <row r="3" customFormat="false" ht="15" hidden="false" customHeight="false" outlineLevel="0" collapsed="false">
      <c r="A3" s="3" t="s">
        <v>246</v>
      </c>
      <c r="B3" s="3" t="s">
        <v>247</v>
      </c>
      <c r="C3" s="4" t="n">
        <v>19</v>
      </c>
      <c r="D3" s="4" t="n">
        <v>5.25</v>
      </c>
      <c r="E3" s="6" t="n">
        <f aca="false">IF(AND(ISNUMBER(C3),ISNUMBER(D3),C3&lt;&gt;0),1-(D3/C3),"")</f>
        <v>0.723684210526316</v>
      </c>
      <c r="F3" s="3" t="s">
        <v>248</v>
      </c>
      <c r="G3" s="11" t="s">
        <v>244</v>
      </c>
      <c r="H3" s="3" t="s">
        <v>249</v>
      </c>
    </row>
    <row r="4" customFormat="false" ht="15" hidden="false" customHeight="false" outlineLevel="0" collapsed="false">
      <c r="A4" s="7" t="s">
        <v>246</v>
      </c>
      <c r="B4" s="7" t="s">
        <v>250</v>
      </c>
      <c r="C4" s="8" t="n">
        <v>18</v>
      </c>
      <c r="D4" s="8" t="n">
        <v>5</v>
      </c>
      <c r="E4" s="10" t="n">
        <f aca="false">IF(AND(ISNUMBER(C4),ISNUMBER(D4),C4&lt;&gt;0),1-(D4/C4),"")</f>
        <v>0.722222222222222</v>
      </c>
      <c r="F4" s="7" t="s">
        <v>251</v>
      </c>
      <c r="G4" s="7" t="s">
        <v>252</v>
      </c>
      <c r="H4" s="7" t="s">
        <v>253</v>
      </c>
    </row>
    <row r="5" customFormat="false" ht="15" hidden="false" customHeight="false" outlineLevel="0" collapsed="false">
      <c r="A5" s="3" t="s">
        <v>11</v>
      </c>
      <c r="B5" s="3" t="s">
        <v>254</v>
      </c>
      <c r="C5" s="4" t="n">
        <v>16</v>
      </c>
      <c r="D5" s="4" t="n">
        <v>4</v>
      </c>
      <c r="E5" s="6" t="n">
        <f aca="false">IF(AND(ISNUMBER(C5),ISNUMBER(D5),C5&lt;&gt;0),1-(D5/C5),"")</f>
        <v>0.75</v>
      </c>
      <c r="F5" s="3" t="s">
        <v>255</v>
      </c>
      <c r="G5" s="12" t="s">
        <v>252</v>
      </c>
      <c r="H5" s="3" t="s">
        <v>256</v>
      </c>
    </row>
    <row r="6" customFormat="false" ht="15" hidden="false" customHeight="false" outlineLevel="0" collapsed="false">
      <c r="A6" s="7" t="s">
        <v>11</v>
      </c>
      <c r="B6" s="7" t="s">
        <v>257</v>
      </c>
      <c r="C6" s="8" t="n">
        <v>12</v>
      </c>
      <c r="D6" s="8" t="n">
        <v>3</v>
      </c>
      <c r="E6" s="10" t="n">
        <f aca="false">IF(AND(ISNUMBER(C6),ISNUMBER(D6),C6&lt;&gt;0),1-(D6/C6),"")</f>
        <v>0.75</v>
      </c>
      <c r="F6" s="7" t="s">
        <v>258</v>
      </c>
      <c r="G6" s="7" t="s">
        <v>259</v>
      </c>
      <c r="H6" s="7" t="s">
        <v>260</v>
      </c>
    </row>
    <row r="7" customFormat="false" ht="15" hidden="false" customHeight="false" outlineLevel="0" collapsed="false">
      <c r="A7" s="3" t="s">
        <v>78</v>
      </c>
      <c r="B7" s="3" t="s">
        <v>261</v>
      </c>
      <c r="C7" s="4" t="n">
        <v>18</v>
      </c>
      <c r="D7" s="4" t="n">
        <v>5</v>
      </c>
      <c r="E7" s="6" t="n">
        <f aca="false">IF(AND(ISNUMBER(C7),ISNUMBER(D7),C7&lt;&gt;0),1-(D7/C7),"")</f>
        <v>0.722222222222222</v>
      </c>
      <c r="F7" s="3" t="s">
        <v>262</v>
      </c>
      <c r="G7" s="11" t="s">
        <v>244</v>
      </c>
      <c r="H7" s="3" t="s">
        <v>263</v>
      </c>
    </row>
    <row r="8" customFormat="false" ht="15" hidden="false" customHeight="false" outlineLevel="0" collapsed="false">
      <c r="A8" s="7" t="s">
        <v>78</v>
      </c>
      <c r="B8" s="7" t="s">
        <v>264</v>
      </c>
      <c r="C8" s="8" t="n">
        <v>15</v>
      </c>
      <c r="D8" s="8" t="n">
        <v>3.75</v>
      </c>
      <c r="E8" s="10" t="n">
        <f aca="false">IF(AND(ISNUMBER(C8),ISNUMBER(D8),C8&lt;&gt;0),1-(D8/C8),"")</f>
        <v>0.75</v>
      </c>
      <c r="F8" s="7" t="s">
        <v>265</v>
      </c>
      <c r="G8" s="7" t="s">
        <v>252</v>
      </c>
      <c r="H8" s="7" t="s">
        <v>266</v>
      </c>
    </row>
    <row r="9" customFormat="false" ht="15" hidden="false" customHeight="false" outlineLevel="0" collapsed="false">
      <c r="A9" s="3" t="s">
        <v>145</v>
      </c>
      <c r="B9" s="3" t="s">
        <v>267</v>
      </c>
      <c r="C9" s="4" t="n">
        <v>13</v>
      </c>
      <c r="D9" s="4" t="n">
        <v>2</v>
      </c>
      <c r="E9" s="6" t="n">
        <f aca="false">IF(AND(ISNUMBER(C9),ISNUMBER(D9),C9&lt;&gt;0),1-(D9/C9),"")</f>
        <v>0.846153846153846</v>
      </c>
      <c r="F9" s="3" t="s">
        <v>268</v>
      </c>
      <c r="G9" s="11" t="s">
        <v>244</v>
      </c>
      <c r="H9" s="3" t="s">
        <v>269</v>
      </c>
    </row>
    <row r="10" customFormat="false" ht="15" hidden="false" customHeight="false" outlineLevel="0" collapsed="false">
      <c r="A10" s="7" t="s">
        <v>145</v>
      </c>
      <c r="B10" s="7" t="s">
        <v>270</v>
      </c>
      <c r="C10" s="8" t="n">
        <v>13</v>
      </c>
      <c r="D10" s="8" t="n">
        <v>2.25</v>
      </c>
      <c r="E10" s="10" t="n">
        <f aca="false">IF(AND(ISNUMBER(C10),ISNUMBER(D10),C10&lt;&gt;0),1-(D10/C10),"")</f>
        <v>0.826923076923077</v>
      </c>
      <c r="F10" s="7" t="s">
        <v>271</v>
      </c>
      <c r="G10" s="7" t="s">
        <v>244</v>
      </c>
      <c r="H10" s="7" t="s">
        <v>272</v>
      </c>
    </row>
    <row r="11" customFormat="false" ht="15" hidden="false" customHeight="false" outlineLevel="0" collapsed="false">
      <c r="A11" s="3" t="s">
        <v>145</v>
      </c>
      <c r="B11" s="3" t="s">
        <v>273</v>
      </c>
      <c r="C11" s="4" t="n">
        <v>48</v>
      </c>
      <c r="D11" s="4" t="n">
        <v>10</v>
      </c>
      <c r="E11" s="6" t="n">
        <f aca="false">IF(AND(ISNUMBER(C11),ISNUMBER(D11),C11&lt;&gt;0),1-(D11/C11),"")</f>
        <v>0.791666666666667</v>
      </c>
      <c r="F11" s="3" t="s">
        <v>274</v>
      </c>
      <c r="G11" s="11" t="s">
        <v>244</v>
      </c>
      <c r="H11" s="3" t="s">
        <v>275</v>
      </c>
    </row>
    <row r="12" customFormat="false" ht="15" hidden="false" customHeight="false" outlineLevel="0" collapsed="false">
      <c r="A12" s="7" t="s">
        <v>145</v>
      </c>
      <c r="B12" s="7" t="s">
        <v>276</v>
      </c>
      <c r="C12" s="8" t="n">
        <v>42</v>
      </c>
      <c r="D12" s="8" t="n">
        <v>8</v>
      </c>
      <c r="E12" s="10" t="n">
        <f aca="false">IF(AND(ISNUMBER(C12),ISNUMBER(D12),C12&lt;&gt;0),1-(D12/C12),"")</f>
        <v>0.80952380952381</v>
      </c>
      <c r="F12" s="7" t="s">
        <v>277</v>
      </c>
      <c r="G12" s="7" t="s">
        <v>252</v>
      </c>
      <c r="H12" s="7" t="s">
        <v>278</v>
      </c>
    </row>
    <row r="13" customFormat="false" ht="15" hidden="false" customHeight="false" outlineLevel="0" collapsed="false">
      <c r="A13" s="3" t="s">
        <v>145</v>
      </c>
      <c r="B13" s="3" t="s">
        <v>279</v>
      </c>
      <c r="C13" s="4" t="n">
        <v>9</v>
      </c>
      <c r="D13" s="4" t="n">
        <v>1.5</v>
      </c>
      <c r="E13" s="6" t="n">
        <f aca="false">IF(AND(ISNUMBER(C13),ISNUMBER(D13),C13&lt;&gt;0),1-(D13/C13),"")</f>
        <v>0.833333333333333</v>
      </c>
      <c r="F13" s="3" t="s">
        <v>280</v>
      </c>
      <c r="G13" s="12" t="s">
        <v>252</v>
      </c>
      <c r="H13" s="3" t="s">
        <v>281</v>
      </c>
    </row>
    <row r="14" customFormat="false" ht="15" hidden="false" customHeight="false" outlineLevel="0" collapsed="false">
      <c r="A14" s="7" t="s">
        <v>282</v>
      </c>
      <c r="B14" s="7" t="s">
        <v>283</v>
      </c>
      <c r="C14" s="8" t="n">
        <v>10</v>
      </c>
      <c r="D14" s="8" t="n">
        <v>2.75</v>
      </c>
      <c r="E14" s="10" t="n">
        <f aca="false">IF(AND(ISNUMBER(C14),ISNUMBER(D14),C14&lt;&gt;0),1-(D14/C14),"")</f>
        <v>0.725</v>
      </c>
      <c r="F14" s="7" t="s">
        <v>284</v>
      </c>
      <c r="G14" s="7" t="s">
        <v>244</v>
      </c>
      <c r="H14" s="7" t="s">
        <v>285</v>
      </c>
    </row>
    <row r="15" customFormat="false" ht="15" hidden="false" customHeight="false" outlineLevel="0" collapsed="false">
      <c r="A15" s="3" t="s">
        <v>282</v>
      </c>
      <c r="B15" s="3" t="s">
        <v>286</v>
      </c>
      <c r="C15" s="4" t="n">
        <v>10</v>
      </c>
      <c r="D15" s="4" t="n">
        <v>2.75</v>
      </c>
      <c r="E15" s="6" t="n">
        <f aca="false">IF(AND(ISNUMBER(C15),ISNUMBER(D15),C15&lt;&gt;0),1-(D15/C15),"")</f>
        <v>0.725</v>
      </c>
      <c r="F15" s="3" t="s">
        <v>287</v>
      </c>
      <c r="G15" s="11" t="s">
        <v>244</v>
      </c>
      <c r="H15" s="3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6" min="5" style="0" width="20"/>
  </cols>
  <sheetData>
    <row r="1" customFormat="false" ht="26.85" hidden="false" customHeight="false" outlineLevel="0" collapsed="false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</row>
    <row r="2" customFormat="false" ht="15" hidden="false" customHeight="false" outlineLevel="0" collapsed="false">
      <c r="A2" s="7" t="s">
        <v>295</v>
      </c>
      <c r="B2" s="7" t="s">
        <v>296</v>
      </c>
      <c r="C2" s="8" t="n">
        <v>1</v>
      </c>
      <c r="D2" s="7" t="n">
        <v>200</v>
      </c>
      <c r="E2" s="13" t="n">
        <f aca="false">C2*D2</f>
        <v>200</v>
      </c>
      <c r="F2" s="13" t="n">
        <f aca="false">E2*52</f>
        <v>10400</v>
      </c>
    </row>
    <row r="3" customFormat="false" ht="15" hidden="false" customHeight="false" outlineLevel="0" collapsed="false">
      <c r="A3" s="3" t="s">
        <v>297</v>
      </c>
      <c r="B3" s="3" t="s">
        <v>298</v>
      </c>
      <c r="C3" s="4" t="n">
        <v>0.5</v>
      </c>
      <c r="D3" s="3" t="n">
        <v>120</v>
      </c>
      <c r="E3" s="14" t="n">
        <f aca="false">C3*D3</f>
        <v>60</v>
      </c>
      <c r="F3" s="14" t="n">
        <f aca="false">E3*52</f>
        <v>3120</v>
      </c>
    </row>
    <row r="4" customFormat="false" ht="15" hidden="false" customHeight="false" outlineLevel="0" collapsed="false">
      <c r="A4" s="7" t="s">
        <v>299</v>
      </c>
      <c r="B4" s="7" t="s">
        <v>300</v>
      </c>
      <c r="C4" s="8" t="n">
        <v>0.4</v>
      </c>
      <c r="D4" s="7" t="n">
        <v>80</v>
      </c>
      <c r="E4" s="13" t="n">
        <f aca="false">C4*D4</f>
        <v>32</v>
      </c>
      <c r="F4" s="13" t="n">
        <f aca="false">E4*52</f>
        <v>1664</v>
      </c>
    </row>
    <row r="5" customFormat="false" ht="15" hidden="false" customHeight="false" outlineLevel="0" collapsed="false">
      <c r="A5" s="3" t="s">
        <v>301</v>
      </c>
      <c r="B5" s="3" t="s">
        <v>302</v>
      </c>
      <c r="C5" s="4" t="n">
        <v>1.5</v>
      </c>
      <c r="D5" s="3" t="n">
        <v>100</v>
      </c>
      <c r="E5" s="14" t="n">
        <f aca="false">C5*D5</f>
        <v>150</v>
      </c>
      <c r="F5" s="14" t="n">
        <f aca="false">E5*52</f>
        <v>7800</v>
      </c>
    </row>
    <row r="6" customFormat="false" ht="15" hidden="false" customHeight="false" outlineLevel="0" collapsed="false">
      <c r="A6" s="7" t="s">
        <v>303</v>
      </c>
      <c r="B6" s="7" t="s">
        <v>304</v>
      </c>
      <c r="C6" s="8" t="n">
        <v>1.25</v>
      </c>
      <c r="D6" s="7" t="n">
        <v>100</v>
      </c>
      <c r="E6" s="13" t="n">
        <f aca="false">C6*D6</f>
        <v>125</v>
      </c>
      <c r="F6" s="13" t="n">
        <f aca="false">E6*52</f>
        <v>6500</v>
      </c>
    </row>
    <row r="7" customFormat="false" ht="15" hidden="false" customHeight="false" outlineLevel="0" collapsed="false">
      <c r="A7" s="3" t="s">
        <v>305</v>
      </c>
      <c r="B7" s="3" t="s">
        <v>306</v>
      </c>
      <c r="C7" s="4" t="n">
        <v>-0.5</v>
      </c>
      <c r="D7" s="3" t="n">
        <v>60</v>
      </c>
      <c r="E7" s="14" t="n">
        <f aca="false">C7*D7</f>
        <v>-30</v>
      </c>
      <c r="F7" s="14" t="n">
        <f aca="false">E7*52</f>
        <v>-1560</v>
      </c>
    </row>
    <row r="8" customFormat="false" ht="15" hidden="false" customHeight="false" outlineLevel="0" collapsed="false">
      <c r="A8" s="7" t="s">
        <v>307</v>
      </c>
      <c r="B8" s="7" t="s">
        <v>308</v>
      </c>
      <c r="C8" s="8" t="n">
        <v>0.75</v>
      </c>
      <c r="D8" s="7" t="n">
        <v>150</v>
      </c>
      <c r="E8" s="13" t="n">
        <f aca="false">C8*D8</f>
        <v>112.5</v>
      </c>
      <c r="F8" s="13" t="n">
        <f aca="false">E8*52</f>
        <v>5850</v>
      </c>
    </row>
    <row r="9" customFormat="false" ht="15" hidden="false" customHeight="false" outlineLevel="0" collapsed="false">
      <c r="A9" s="3" t="s">
        <v>309</v>
      </c>
      <c r="B9" s="3" t="s">
        <v>310</v>
      </c>
      <c r="C9" s="4" t="n">
        <v>0.6</v>
      </c>
      <c r="D9" s="3" t="n">
        <v>100</v>
      </c>
      <c r="E9" s="14" t="n">
        <f aca="false">C9*D9</f>
        <v>60</v>
      </c>
      <c r="F9" s="14" t="n">
        <f aca="false">E9*52</f>
        <v>3120</v>
      </c>
    </row>
    <row r="10" customFormat="false" ht="15" hidden="false" customHeight="false" outlineLevel="0" collapsed="false">
      <c r="A10" s="7" t="s">
        <v>311</v>
      </c>
      <c r="B10" s="7" t="s">
        <v>312</v>
      </c>
      <c r="C10" s="8" t="n">
        <v>1.5</v>
      </c>
      <c r="D10" s="7" t="n">
        <v>40</v>
      </c>
      <c r="E10" s="13" t="n">
        <f aca="false">C10*D10</f>
        <v>60</v>
      </c>
      <c r="F10" s="13" t="n">
        <f aca="false">E10*52</f>
        <v>3120</v>
      </c>
    </row>
    <row r="11" customFormat="false" ht="15" hidden="false" customHeight="false" outlineLevel="0" collapsed="false">
      <c r="A11" s="3" t="s">
        <v>313</v>
      </c>
      <c r="B11" s="3" t="s">
        <v>314</v>
      </c>
      <c r="C11" s="4" t="n">
        <v>3</v>
      </c>
      <c r="D11" s="3" t="n">
        <v>30</v>
      </c>
      <c r="E11" s="14" t="n">
        <f aca="false">C11*D11</f>
        <v>90</v>
      </c>
      <c r="F11" s="14" t="n">
        <f aca="false">E11*52</f>
        <v>4680</v>
      </c>
    </row>
    <row r="12" customFormat="false" ht="15" hidden="false" customHeight="false" outlineLevel="0" collapsed="false">
      <c r="A12" s="7" t="s">
        <v>315</v>
      </c>
      <c r="B12" s="7" t="s">
        <v>316</v>
      </c>
      <c r="C12" s="8" t="n">
        <v>2</v>
      </c>
      <c r="D12" s="7" t="n">
        <v>50</v>
      </c>
      <c r="E12" s="13" t="n">
        <f aca="false">C12*D12</f>
        <v>100</v>
      </c>
      <c r="F12" s="13" t="n">
        <f aca="false">E12*52</f>
        <v>5200</v>
      </c>
    </row>
    <row r="13" customFormat="false" ht="15" hidden="false" customHeight="false" outlineLevel="0" collapsed="false">
      <c r="A13" s="3" t="s">
        <v>317</v>
      </c>
      <c r="B13" s="3" t="s">
        <v>318</v>
      </c>
      <c r="C13" s="4" t="n">
        <v>0.75</v>
      </c>
      <c r="D13" s="3" t="n">
        <v>60</v>
      </c>
      <c r="E13" s="14" t="n">
        <f aca="false">C13*D13</f>
        <v>45</v>
      </c>
      <c r="F13" s="14" t="n">
        <f aca="false">E13*52</f>
        <v>2340</v>
      </c>
    </row>
    <row r="14" customFormat="false" ht="15" hidden="false" customHeight="false" outlineLevel="0" collapsed="false">
      <c r="A14" s="15" t="s">
        <v>319</v>
      </c>
      <c r="B14" s="16"/>
      <c r="C14" s="16"/>
      <c r="D14" s="16"/>
      <c r="E14" s="17" t="n">
        <f aca="false">SUM(E2:E13)</f>
        <v>1004.5</v>
      </c>
      <c r="F14" s="17" t="n">
        <f aca="false">SUM(F2:F13)</f>
        <v>52234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320</v>
      </c>
      <c r="D1" s="1" t="s">
        <v>321</v>
      </c>
      <c r="E1" s="1" t="s">
        <v>322</v>
      </c>
    </row>
    <row r="2" customFormat="false" ht="15" hidden="false" customHeight="false" outlineLevel="0" collapsed="false">
      <c r="A2" s="7" t="s">
        <v>323</v>
      </c>
      <c r="B2" s="8" t="n">
        <v>16</v>
      </c>
      <c r="C2" s="7" t="s">
        <v>324</v>
      </c>
      <c r="D2" s="7" t="s">
        <v>325</v>
      </c>
      <c r="E2" s="7" t="s">
        <v>326</v>
      </c>
    </row>
    <row r="3" customFormat="false" ht="15" hidden="false" customHeight="false" outlineLevel="0" collapsed="false">
      <c r="A3" s="3" t="s">
        <v>327</v>
      </c>
      <c r="B3" s="4" t="n">
        <v>16</v>
      </c>
      <c r="C3" s="3" t="s">
        <v>328</v>
      </c>
      <c r="D3" s="3" t="s">
        <v>329</v>
      </c>
      <c r="E3" s="18" t="s">
        <v>326</v>
      </c>
    </row>
    <row r="4" customFormat="false" ht="15" hidden="false" customHeight="false" outlineLevel="0" collapsed="false">
      <c r="A4" s="7" t="s">
        <v>330</v>
      </c>
      <c r="B4" s="8" t="n">
        <v>16</v>
      </c>
      <c r="C4" s="7" t="s">
        <v>331</v>
      </c>
      <c r="D4" s="7" t="s">
        <v>332</v>
      </c>
      <c r="E4" s="7" t="s">
        <v>326</v>
      </c>
    </row>
    <row r="5" customFormat="false" ht="15" hidden="false" customHeight="false" outlineLevel="0" collapsed="false">
      <c r="A5" s="3" t="s">
        <v>333</v>
      </c>
      <c r="B5" s="4" t="n">
        <v>18</v>
      </c>
      <c r="C5" s="3" t="s">
        <v>334</v>
      </c>
      <c r="D5" s="3" t="s">
        <v>335</v>
      </c>
      <c r="E5" s="18" t="s">
        <v>326</v>
      </c>
    </row>
    <row r="6" customFormat="false" ht="15" hidden="false" customHeight="false" outlineLevel="0" collapsed="false">
      <c r="A6" s="7" t="s">
        <v>336</v>
      </c>
      <c r="B6" s="8" t="n">
        <v>18</v>
      </c>
      <c r="C6" s="7" t="s">
        <v>337</v>
      </c>
      <c r="D6" s="7" t="s">
        <v>338</v>
      </c>
      <c r="E6" s="7" t="s">
        <v>326</v>
      </c>
    </row>
    <row r="7" customFormat="false" ht="15" hidden="false" customHeight="false" outlineLevel="0" collapsed="false">
      <c r="A7" s="3" t="s">
        <v>339</v>
      </c>
      <c r="B7" s="4" t="n">
        <v>12</v>
      </c>
      <c r="C7" s="3" t="s">
        <v>340</v>
      </c>
      <c r="D7" s="3" t="s">
        <v>341</v>
      </c>
      <c r="E7" s="18" t="s">
        <v>326</v>
      </c>
    </row>
    <row r="8" customFormat="false" ht="15" hidden="false" customHeight="false" outlineLevel="0" collapsed="false">
      <c r="A8" s="7" t="s">
        <v>342</v>
      </c>
      <c r="B8" s="8" t="n">
        <v>12</v>
      </c>
      <c r="C8" s="7" t="s">
        <v>343</v>
      </c>
      <c r="D8" s="7" t="s">
        <v>344</v>
      </c>
      <c r="E8" s="7" t="s">
        <v>326</v>
      </c>
    </row>
    <row r="9" customFormat="false" ht="15" hidden="false" customHeight="false" outlineLevel="0" collapsed="false">
      <c r="A9" s="3" t="s">
        <v>345</v>
      </c>
      <c r="B9" s="4" t="n">
        <v>8</v>
      </c>
      <c r="C9" s="3" t="s">
        <v>346</v>
      </c>
      <c r="D9" s="3" t="s">
        <v>347</v>
      </c>
      <c r="E9" s="18" t="s">
        <v>326</v>
      </c>
    </row>
    <row r="10" customFormat="false" ht="15" hidden="false" customHeight="false" outlineLevel="0" collapsed="false">
      <c r="A10" s="7" t="s">
        <v>348</v>
      </c>
      <c r="B10" s="8" t="n">
        <v>8</v>
      </c>
      <c r="C10" s="7" t="s">
        <v>349</v>
      </c>
      <c r="D10" s="7" t="s">
        <v>350</v>
      </c>
      <c r="E10" s="7" t="s">
        <v>326</v>
      </c>
    </row>
    <row r="11" customFormat="false" ht="15" hidden="false" customHeight="false" outlineLevel="0" collapsed="false">
      <c r="A11" s="3" t="s">
        <v>351</v>
      </c>
      <c r="B11" s="4" t="n">
        <v>20</v>
      </c>
      <c r="C11" s="3" t="s">
        <v>352</v>
      </c>
      <c r="D11" s="3" t="s">
        <v>353</v>
      </c>
      <c r="E11" s="12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2026-03-23T06:19:52Z</dcterms:created>
  <dc:creator>openpyxl</dc:creator>
  <dc:description/>
  <dc:language>en-US</dc:language>
  <cp:lastModifiedBy/>
  <dcterms:modified xsi:type="dcterms:W3CDTF">2026-03-23T06:19:52Z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